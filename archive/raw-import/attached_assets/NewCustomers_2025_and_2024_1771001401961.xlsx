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0" documentId="14_{5E3547ED-467E-42F6-8AAD-FA52CBACE43F}" xr6:coauthVersionLast="47" xr6:coauthVersionMax="47" xr10:uidLastSave="{00000000-0000-0000-0000-000000000000}"/>
  <bookViews>
    <workbookView xWindow="-110" yWindow="-110" windowWidth="19420" windowHeight="10420" xr2:uid="{2D3CDB81-7A71-45CF-A9FD-1BE4FBD1391D}"/>
  </bookViews>
  <sheets>
    <sheet name="2025" sheetId="2" r:id="rId1"/>
    <sheet name="2024" sheetId="4" r:id="rId2"/>
  </sheets>
  <definedNames>
    <definedName name="_xlnm._FilterDatabase" localSheetId="1" hidden="1">'2024'!$I$2:$I$157</definedName>
    <definedName name="_xlnm._FilterDatabase" localSheetId="0" hidden="1">'2025'!$H$2:$H$161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4" i="4"/>
  <c r="F11" i="4"/>
  <c r="F11" i="2"/>
  <c r="F9" i="4"/>
  <c r="F9" i="2"/>
  <c r="F3" i="4"/>
  <c r="F3" i="2"/>
</calcChain>
</file>

<file path=xl/sharedStrings.xml><?xml version="1.0" encoding="utf-8"?>
<sst xmlns="http://schemas.openxmlformats.org/spreadsheetml/2006/main" count="980" uniqueCount="959">
  <si>
    <t>2012204</t>
  </si>
  <si>
    <t>CARGILL FOOD INNOVATION CENTER</t>
  </si>
  <si>
    <t>2012206</t>
  </si>
  <si>
    <t>HAPPY BRAINS LLC</t>
  </si>
  <si>
    <t>2012207</t>
  </si>
  <si>
    <t>WORWAG PHARMA PRODUCTION GMBH &amp; CO. KG</t>
  </si>
  <si>
    <t>2012208</t>
  </si>
  <si>
    <t>APOTHEEK OLYSLAGER-SNOECKX BV</t>
  </si>
  <si>
    <t>2012211</t>
  </si>
  <si>
    <t>APEX PHARMA</t>
  </si>
  <si>
    <t>2012209</t>
  </si>
  <si>
    <t>DELTA BUOY</t>
  </si>
  <si>
    <t>2012210</t>
  </si>
  <si>
    <t>2012212</t>
  </si>
  <si>
    <t>2012213</t>
  </si>
  <si>
    <t>2012214</t>
  </si>
  <si>
    <t>2012215</t>
  </si>
  <si>
    <t>SUDAIR PHARMACEUTICAL COMPANY</t>
  </si>
  <si>
    <t>2012216</t>
  </si>
  <si>
    <t>THE CATHAY YSS DISTRIBUTORS CO., INC.</t>
  </si>
  <si>
    <t>2012217</t>
  </si>
  <si>
    <t>UNIVERSITY OF DEBRECEN FACULTY OF PHARMACY</t>
  </si>
  <si>
    <t>2012218</t>
  </si>
  <si>
    <t>SARL BIOGALENIC</t>
  </si>
  <si>
    <t>2012219</t>
  </si>
  <si>
    <t>2012220</t>
  </si>
  <si>
    <t>ARIHANT INNOCHEM PVT LTD</t>
  </si>
  <si>
    <t>2012221</t>
  </si>
  <si>
    <t>EMS BSB BRAZIL</t>
  </si>
  <si>
    <t>2012222</t>
  </si>
  <si>
    <t>OSTROVIT SP. Z O.O.</t>
  </si>
  <si>
    <t>2012223</t>
  </si>
  <si>
    <t>PH COSMETIC</t>
  </si>
  <si>
    <t>2012224</t>
  </si>
  <si>
    <t>AROHA</t>
  </si>
  <si>
    <t>2012225</t>
  </si>
  <si>
    <t>BOSTON BIOPHARMA INC.</t>
  </si>
  <si>
    <t>2012226</t>
  </si>
  <si>
    <t>MONTE VERDE SA</t>
  </si>
  <si>
    <t>2012227</t>
  </si>
  <si>
    <t>2012228</t>
  </si>
  <si>
    <t>CRINETICS PHARMACEUTICALS</t>
  </si>
  <si>
    <t>2012229</t>
  </si>
  <si>
    <t>CERNELLE AB</t>
  </si>
  <si>
    <t>2012230</t>
  </si>
  <si>
    <t>ALDOURIE</t>
  </si>
  <si>
    <t>2012231</t>
  </si>
  <si>
    <t>NOVEL COMPOUNDING PHARMACY</t>
  </si>
  <si>
    <t>2012232</t>
  </si>
  <si>
    <t>AFERSA</t>
  </si>
  <si>
    <t>2012233</t>
  </si>
  <si>
    <t>KG-PHARMA AB</t>
  </si>
  <si>
    <t>2012234</t>
  </si>
  <si>
    <t>BRULUAGSA SOCIEDAD ANONIMA DE CAPITAL VARIABLE</t>
  </si>
  <si>
    <t>2012235</t>
  </si>
  <si>
    <t>SYLVATEX</t>
  </si>
  <si>
    <t>2012237</t>
  </si>
  <si>
    <t>2012236</t>
  </si>
  <si>
    <t>PORVAIR SCIENCES LIMITED</t>
  </si>
  <si>
    <t>2012238</t>
  </si>
  <si>
    <t>MASTER ENTERPRISE USA</t>
  </si>
  <si>
    <t>2012239</t>
  </si>
  <si>
    <t>GREEN FARMS MISSOURI LLC</t>
  </si>
  <si>
    <t>2012242</t>
  </si>
  <si>
    <t>ZAFA PHARMACEUTICAL LABORATORIES PVT LTD</t>
  </si>
  <si>
    <t>2012240</t>
  </si>
  <si>
    <t>SANDSTONE SPRINGS LLC</t>
  </si>
  <si>
    <t>2012241</t>
  </si>
  <si>
    <t>NIPRO JMI PHARMA LTD</t>
  </si>
  <si>
    <t>2012243</t>
  </si>
  <si>
    <t>MIDNIGHT MANUFACTURING</t>
  </si>
  <si>
    <t>2012244</t>
  </si>
  <si>
    <t>ELITE LABS</t>
  </si>
  <si>
    <t>2012245</t>
  </si>
  <si>
    <t>ARTISAN MINTS</t>
  </si>
  <si>
    <t>2012246</t>
  </si>
  <si>
    <t>TERREMOTO BIOSCIENCES INC.</t>
  </si>
  <si>
    <t>2012247</t>
  </si>
  <si>
    <t>HYDROPONIC RESEARCH</t>
  </si>
  <si>
    <t>2012248</t>
  </si>
  <si>
    <t>KONAPHARMA AG</t>
  </si>
  <si>
    <t>2012249</t>
  </si>
  <si>
    <t>AMP NUTRACEUTICALS INC</t>
  </si>
  <si>
    <t>2012250</t>
  </si>
  <si>
    <t>SEREM KIMYEVI MADDELER LABIRATUVAR</t>
  </si>
  <si>
    <t>2012251</t>
  </si>
  <si>
    <t>NOVOCOGITO LTD</t>
  </si>
  <si>
    <t>2012252</t>
  </si>
  <si>
    <t>OPTIMAL NUTRITION ENTERPRISE INC</t>
  </si>
  <si>
    <t>2012253</t>
  </si>
  <si>
    <t>ALTOS LABS</t>
  </si>
  <si>
    <t>2012254</t>
  </si>
  <si>
    <t>DR. REDDY'S LABORATORIES LTD.</t>
  </si>
  <si>
    <t>2012255</t>
  </si>
  <si>
    <t>LINK RX</t>
  </si>
  <si>
    <t>2012256</t>
  </si>
  <si>
    <t>CLDD LLC</t>
  </si>
  <si>
    <t>2012266</t>
  </si>
  <si>
    <t>PAGARI PHARMATECH INC.</t>
  </si>
  <si>
    <t>2012257</t>
  </si>
  <si>
    <t>GFC PHARMA LLC</t>
  </si>
  <si>
    <t>2012258</t>
  </si>
  <si>
    <t>FROM WITHIN HEALTH</t>
  </si>
  <si>
    <t>2012260</t>
  </si>
  <si>
    <t>DHG PHARMA JOINT STOCK COMPANY</t>
  </si>
  <si>
    <t>2012261</t>
  </si>
  <si>
    <t>PHARMA PHARMACEUTICALS &amp; BIOLOGICAL PRODUCTS</t>
  </si>
  <si>
    <t>2012262</t>
  </si>
  <si>
    <t>PROMPT INTERNATIONAL GENERAL TRADING LLC</t>
  </si>
  <si>
    <t>2012259</t>
  </si>
  <si>
    <t>SOW FLOW SOLUTIONS LLC</t>
  </si>
  <si>
    <t>2012271</t>
  </si>
  <si>
    <t>EPIVARA INC.</t>
  </si>
  <si>
    <t>2012263</t>
  </si>
  <si>
    <t>KEMEX LABORATORIES</t>
  </si>
  <si>
    <t>2012264</t>
  </si>
  <si>
    <t>2012265</t>
  </si>
  <si>
    <t>E2E PHARMA LLC</t>
  </si>
  <si>
    <t>2012267</t>
  </si>
  <si>
    <t>PV PRODUCTS</t>
  </si>
  <si>
    <t>2012268</t>
  </si>
  <si>
    <t>EAMAH ENTEPRENEUR</t>
  </si>
  <si>
    <t>2012269</t>
  </si>
  <si>
    <t>GRUPO MEDIFARMA</t>
  </si>
  <si>
    <t>2012270</t>
  </si>
  <si>
    <t>GBIOMED NIGERIA LIMITED</t>
  </si>
  <si>
    <t>2012272</t>
  </si>
  <si>
    <t>BOLD MACHINE</t>
  </si>
  <si>
    <t>2012273</t>
  </si>
  <si>
    <t>SUNPHARMA</t>
  </si>
  <si>
    <t>2012274</t>
  </si>
  <si>
    <t>WEST QUIMICA</t>
  </si>
  <si>
    <t>2012275</t>
  </si>
  <si>
    <t>BINATE ANALYTICS</t>
  </si>
  <si>
    <t>2012276</t>
  </si>
  <si>
    <t>VEFA ILAC</t>
  </si>
  <si>
    <t>2012277</t>
  </si>
  <si>
    <t>2012278</t>
  </si>
  <si>
    <t>BUTTENBERG &amp; MP LLC.</t>
  </si>
  <si>
    <t>2012281</t>
  </si>
  <si>
    <t>PT STERLING PRODUCTS INDONESIA</t>
  </si>
  <si>
    <t>2012279</t>
  </si>
  <si>
    <t>GLOBAL PHARMACUTICAL</t>
  </si>
  <si>
    <t>2012280</t>
  </si>
  <si>
    <t>BIOLAB SANUS FARMA BRAGANCA</t>
  </si>
  <si>
    <t>2012282</t>
  </si>
  <si>
    <t>MILLICENT MANUFACTURING PR LLC</t>
  </si>
  <si>
    <t>2012283</t>
  </si>
  <si>
    <t>ENVIRONMENTAL DYNAMICS, INC</t>
  </si>
  <si>
    <t>2012284</t>
  </si>
  <si>
    <t>NUTRITIONAL SALES &amp; CUST. SRV.</t>
  </si>
  <si>
    <t>2012285</t>
  </si>
  <si>
    <t>ZISKA PHARMACEUTICALS LTD</t>
  </si>
  <si>
    <t>2012286</t>
  </si>
  <si>
    <t>2012287</t>
  </si>
  <si>
    <t>2012288</t>
  </si>
  <si>
    <t>BIOPHARMACIE</t>
  </si>
  <si>
    <t>2012289</t>
  </si>
  <si>
    <t>GREAT WHITE LABEL</t>
  </si>
  <si>
    <t>2012290</t>
  </si>
  <si>
    <t>DLM HOLDING GROUP</t>
  </si>
  <si>
    <t>2012291</t>
  </si>
  <si>
    <t>SMIBA GLOBAL D.O.O.</t>
  </si>
  <si>
    <t>2012292</t>
  </si>
  <si>
    <t>UPSTERS ENERGY GMBH</t>
  </si>
  <si>
    <t>2012293</t>
  </si>
  <si>
    <t>2012294</t>
  </si>
  <si>
    <t>SV LABS CORPORATION</t>
  </si>
  <si>
    <t>2012295</t>
  </si>
  <si>
    <t>NEXT HEALTH SOLUTION</t>
  </si>
  <si>
    <t>2012296</t>
  </si>
  <si>
    <t>ARTEMIS NUTRITIONALS</t>
  </si>
  <si>
    <t>2012297</t>
  </si>
  <si>
    <t>ACDIMA INTERNATIONAL TRADING</t>
  </si>
  <si>
    <t>2012298</t>
  </si>
  <si>
    <t>JC ARC TECH</t>
  </si>
  <si>
    <t>2012299</t>
  </si>
  <si>
    <t>PHARMATROPHIX, INC.</t>
  </si>
  <si>
    <t>2012300</t>
  </si>
  <si>
    <t>ORGANIMED LLC</t>
  </si>
  <si>
    <t>2012301</t>
  </si>
  <si>
    <t>A1 MEDICAL</t>
  </si>
  <si>
    <t>2012302</t>
  </si>
  <si>
    <t>NATURAL HEALTH, COLOMBIA</t>
  </si>
  <si>
    <t>2012303</t>
  </si>
  <si>
    <t>2012304</t>
  </si>
  <si>
    <t>2012305</t>
  </si>
  <si>
    <t>2012306</t>
  </si>
  <si>
    <t>THAT ONE PLACE</t>
  </si>
  <si>
    <t>2012307</t>
  </si>
  <si>
    <t>LABORATORIOS COASPHARMA</t>
  </si>
  <si>
    <t>2012308</t>
  </si>
  <si>
    <t>MEDEAST MANUFACTURING</t>
  </si>
  <si>
    <t>2012309</t>
  </si>
  <si>
    <t>LUMA X NEBRA</t>
  </si>
  <si>
    <t>2012310</t>
  </si>
  <si>
    <t>LABORATORIOS FARMACAPSULAS</t>
  </si>
  <si>
    <t>2012311</t>
  </si>
  <si>
    <t>NUTRIO2 LLC DBA VITAWORKS WEST</t>
  </si>
  <si>
    <t>2012312</t>
  </si>
  <si>
    <t>ARDENA US LLC</t>
  </si>
  <si>
    <t>2012313</t>
  </si>
  <si>
    <t>2012314</t>
  </si>
  <si>
    <t>PURE PHARMACIES GENERAL PARTNERSHIP</t>
  </si>
  <si>
    <t>2012315</t>
  </si>
  <si>
    <t>CF PHARMA IRELAND LTD</t>
  </si>
  <si>
    <t>2012316</t>
  </si>
  <si>
    <t>GCF INDUSTRIES, INC.</t>
  </si>
  <si>
    <t>2012317</t>
  </si>
  <si>
    <t>V.S. INTERNATIONAL PVT. LTD.</t>
  </si>
  <si>
    <t>2012318</t>
  </si>
  <si>
    <t>ASPEN PHARMA INDUSTRIA FARMACEUTICA LTDA</t>
  </si>
  <si>
    <t>2012319</t>
  </si>
  <si>
    <t>QUOTIENT SCIENCES</t>
  </si>
  <si>
    <t>2012320</t>
  </si>
  <si>
    <t>NLP CLINICAL LLC</t>
  </si>
  <si>
    <t>2012321</t>
  </si>
  <si>
    <t>AII SYSTEMS</t>
  </si>
  <si>
    <t>2012322</t>
  </si>
  <si>
    <t>FUNGTIO</t>
  </si>
  <si>
    <t>2012323</t>
  </si>
  <si>
    <t>LABORATORIOS LABMAC</t>
  </si>
  <si>
    <t>2012324</t>
  </si>
  <si>
    <t>HUMAX PHARMACEUTICAL</t>
  </si>
  <si>
    <t>2012325</t>
  </si>
  <si>
    <t>JAMJOOM ALGERIA LIL DAWA</t>
  </si>
  <si>
    <t>2012326</t>
  </si>
  <si>
    <t>PHARMA INVEST PRODUCTION S.P.A.</t>
  </si>
  <si>
    <t>2012327</t>
  </si>
  <si>
    <t>BIOINNOVATIONS S.P.A.</t>
  </si>
  <si>
    <t>2012328</t>
  </si>
  <si>
    <t>2012329</t>
  </si>
  <si>
    <t>HEVIGA PHARMA PARTS</t>
  </si>
  <si>
    <t>2012330</t>
  </si>
  <si>
    <t>APL HEALTH CARE LIMITED</t>
  </si>
  <si>
    <t>2012331</t>
  </si>
  <si>
    <t>DUOPHARMA INNOVATION SDN BHD</t>
  </si>
  <si>
    <t>2012332</t>
  </si>
  <si>
    <t>ARIASSTAMPI SA DE CN</t>
  </si>
  <si>
    <t>2012333</t>
  </si>
  <si>
    <t>AMT MEDICAL</t>
  </si>
  <si>
    <t>2012334</t>
  </si>
  <si>
    <t>ROY IMPORT LLC</t>
  </si>
  <si>
    <t>2012335</t>
  </si>
  <si>
    <t>SOUTHWEST EQUIPMENT GROUP</t>
  </si>
  <si>
    <t>2012336</t>
  </si>
  <si>
    <t>PT ROECHAN SUPPLY SOLUTON</t>
  </si>
  <si>
    <t>2012337</t>
  </si>
  <si>
    <t>CUSTOMER PRODUCTION AUTOMATION CORPORATION</t>
  </si>
  <si>
    <t>2012338</t>
  </si>
  <si>
    <t>UDC USA, INC.</t>
  </si>
  <si>
    <t>2012339</t>
  </si>
  <si>
    <t>VANTAGE NUTRITION LLC</t>
  </si>
  <si>
    <t>2012340</t>
  </si>
  <si>
    <t>EDEN'S ELIXIRS</t>
  </si>
  <si>
    <t>2012341</t>
  </si>
  <si>
    <t>RICH DISTRIBUTING</t>
  </si>
  <si>
    <t>2012344</t>
  </si>
  <si>
    <t>MARKSANS PHARMA LTD</t>
  </si>
  <si>
    <t>2012342</t>
  </si>
  <si>
    <t>XPEDITE LEASING INC. (dba PRIME CAPITAL)</t>
  </si>
  <si>
    <t>2012343</t>
  </si>
  <si>
    <t>ECO LIVING TRADING</t>
  </si>
  <si>
    <t>2012345</t>
  </si>
  <si>
    <t>SAKA FARMA LABORATORIES, PT</t>
  </si>
  <si>
    <t>2012346</t>
  </si>
  <si>
    <t>2012347</t>
  </si>
  <si>
    <t>NORWEST MANUFACTURING</t>
  </si>
  <si>
    <t>2012348</t>
  </si>
  <si>
    <t>BIOWELL LABORATORIES</t>
  </si>
  <si>
    <t>2012349</t>
  </si>
  <si>
    <t>2012350</t>
  </si>
  <si>
    <t>AMR ESPECIALIDADES SPA</t>
  </si>
  <si>
    <t>2012351</t>
  </si>
  <si>
    <t>ELITE PERFORMANCE LABS</t>
  </si>
  <si>
    <t>2012352</t>
  </si>
  <si>
    <t>TSHWANE UNIVERSITY OF TECHNOLOGY</t>
  </si>
  <si>
    <t>2012353</t>
  </si>
  <si>
    <t>SOLENIS</t>
  </si>
  <si>
    <t>2012354</t>
  </si>
  <si>
    <t>LACORE NUTRACEUTICALS</t>
  </si>
  <si>
    <t>2012355</t>
  </si>
  <si>
    <t>DEI BIO PHARMA LIMITED</t>
  </si>
  <si>
    <t>2012356</t>
  </si>
  <si>
    <t>ANTARES THERAPEUTICS</t>
  </si>
  <si>
    <t>2012357</t>
  </si>
  <si>
    <t>VETMARKET</t>
  </si>
  <si>
    <t>2012358</t>
  </si>
  <si>
    <t>FRESH VITAMINS LLC</t>
  </si>
  <si>
    <t>2012359</t>
  </si>
  <si>
    <t>LABORATORIO PABLO CASSARA SRL</t>
  </si>
  <si>
    <t>2012361</t>
  </si>
  <si>
    <t>CENTAUR NUTRACEUTICALS</t>
  </si>
  <si>
    <t>2012360</t>
  </si>
  <si>
    <t>IAMBIC THERAPEUTICS INC</t>
  </si>
  <si>
    <t>2012362</t>
  </si>
  <si>
    <t>GYPTO PHARMA</t>
  </si>
  <si>
    <t>2012363</t>
  </si>
  <si>
    <t>HALEON IRELAND DUNGARVAN LIMITED</t>
  </si>
  <si>
    <t>2012364</t>
  </si>
  <si>
    <t>IMPROVED PHARMA</t>
  </si>
  <si>
    <t>2012365</t>
  </si>
  <si>
    <t>LABOARTORIOS BARLY COSTA RICA</t>
  </si>
  <si>
    <t>2012370</t>
  </si>
  <si>
    <t>ONE BIOLIFE</t>
  </si>
  <si>
    <t>2012366</t>
  </si>
  <si>
    <t>LA SANTA COLOMBIA</t>
  </si>
  <si>
    <t>2012367</t>
  </si>
  <si>
    <t>LABORATORIO LA SANTE C.A</t>
  </si>
  <si>
    <t>2012368</t>
  </si>
  <si>
    <t>LABORATOIRES LEHNING</t>
  </si>
  <si>
    <t>2012369</t>
  </si>
  <si>
    <t>LABOARTORIOS BARLY S.A</t>
  </si>
  <si>
    <t>2012371</t>
  </si>
  <si>
    <t>DEPT OF THE ARMY DEVCOM CBC</t>
  </si>
  <si>
    <t>2012372</t>
  </si>
  <si>
    <t>EVOLUTION DISTRO</t>
  </si>
  <si>
    <t>2012373</t>
  </si>
  <si>
    <t>STEMLINE THEARAPUTICS INC</t>
  </si>
  <si>
    <t>2012374</t>
  </si>
  <si>
    <t>USI SUPPLEMENTS, INC</t>
  </si>
  <si>
    <t>2012375</t>
  </si>
  <si>
    <t>PONDLA VINEEL</t>
  </si>
  <si>
    <t>2012376</t>
  </si>
  <si>
    <t>PATEL &amp; DANI LP</t>
  </si>
  <si>
    <t>2012377</t>
  </si>
  <si>
    <t>ELIS MANUFACTURING &amp; PACKAGING</t>
  </si>
  <si>
    <t>2012378</t>
  </si>
  <si>
    <t>HALDA THERAPEUTICS</t>
  </si>
  <si>
    <t>2012379</t>
  </si>
  <si>
    <t>2012380</t>
  </si>
  <si>
    <t>GRAVITAS TECHNOLOGIES</t>
  </si>
  <si>
    <t>2012381</t>
  </si>
  <si>
    <t>ZEYTAA LLC</t>
  </si>
  <si>
    <t>2012382</t>
  </si>
  <si>
    <t>PHARMACY SPECIALISTS OF CENTRAL FLORIDA</t>
  </si>
  <si>
    <t>2012383</t>
  </si>
  <si>
    <t>HALEON SOUTH AFRICA (PTY) LTD</t>
  </si>
  <si>
    <t>2012384</t>
  </si>
  <si>
    <t>COMPANIA INDUSTRIAL DE TABACOS MONTE PAZ S.A.</t>
  </si>
  <si>
    <t>2012385</t>
  </si>
  <si>
    <t>WIN (PERU) SAC</t>
  </si>
  <si>
    <t>2012386</t>
  </si>
  <si>
    <t>KOMPOTU ILAC</t>
  </si>
  <si>
    <t>2012387</t>
  </si>
  <si>
    <t>SOLIS PHARMACEUTICALS INC</t>
  </si>
  <si>
    <t>2012388</t>
  </si>
  <si>
    <t>FOOTHILLS PROFESSIONAL PHARMACY</t>
  </si>
  <si>
    <t>2012389</t>
  </si>
  <si>
    <t>FACULTAD CIENCIAS QUIMICAS</t>
  </si>
  <si>
    <t>2012390</t>
  </si>
  <si>
    <t>GO2 PACK AND FILL NUTRITIONAL</t>
  </si>
  <si>
    <t>2012391</t>
  </si>
  <si>
    <t>NUPLAM FEDERAL UNIVERSITY OF RIO GRANDE DO NORTE</t>
  </si>
  <si>
    <t>2012392</t>
  </si>
  <si>
    <t>2012394</t>
  </si>
  <si>
    <t>DELTA PHARMA</t>
  </si>
  <si>
    <t>2012393</t>
  </si>
  <si>
    <t>M&amp;V CONINSTAL S.R.L.</t>
  </si>
  <si>
    <t>2012395</t>
  </si>
  <si>
    <t>LACOFA-COSTA RICA</t>
  </si>
  <si>
    <t>2012396</t>
  </si>
  <si>
    <t>LISAN-COSTA RICA</t>
  </si>
  <si>
    <t>2012397</t>
  </si>
  <si>
    <t>ASCEND WELLNESS HOLDINGS</t>
  </si>
  <si>
    <t>2012398</t>
  </si>
  <si>
    <t>TECHNOCARE SAS COLOMBIA</t>
  </si>
  <si>
    <t>2012399</t>
  </si>
  <si>
    <t>HALEON ITALY MANUFACTURING S.R.L.</t>
  </si>
  <si>
    <t>2012400</t>
  </si>
  <si>
    <t>ORGANON LLC</t>
  </si>
  <si>
    <t>2012401</t>
  </si>
  <si>
    <t>FAREVA, COLOMBIA</t>
  </si>
  <si>
    <t>2012402</t>
  </si>
  <si>
    <t>PT NULAB</t>
  </si>
  <si>
    <t>2012403</t>
  </si>
  <si>
    <t>TRIAD RX PHARMACY</t>
  </si>
  <si>
    <t>2012405</t>
  </si>
  <si>
    <t>SCINTIPHARMA, INC</t>
  </si>
  <si>
    <t>2012406</t>
  </si>
  <si>
    <t>MYCELIUM PHARMACY LLC</t>
  </si>
  <si>
    <t>2012404</t>
  </si>
  <si>
    <t>PREMIUM HEALTH PHARMA</t>
  </si>
  <si>
    <t>2012420</t>
  </si>
  <si>
    <t>KEYSTONE COPACK MANUFACTURING</t>
  </si>
  <si>
    <t>2012421</t>
  </si>
  <si>
    <t>2012422</t>
  </si>
  <si>
    <t>2012423</t>
  </si>
  <si>
    <t>STRIVE PHARMACY TAMPA</t>
  </si>
  <si>
    <t>2012424</t>
  </si>
  <si>
    <t>MULTISERVICIOS SINERGICOS JYE</t>
  </si>
  <si>
    <t>2012425</t>
  </si>
  <si>
    <t>4-AMINO-LABS</t>
  </si>
  <si>
    <t>2012407</t>
  </si>
  <si>
    <t>CANA LABORATORIES</t>
  </si>
  <si>
    <t>2012408</t>
  </si>
  <si>
    <t>IBERFAR INDUSTRIA FARMACEUTICA S.A.</t>
  </si>
  <si>
    <t>2012409</t>
  </si>
  <si>
    <t>KALARAIL</t>
  </si>
  <si>
    <t>2012410</t>
  </si>
  <si>
    <t>LABORATORIOS TEMIS LOSTALO</t>
  </si>
  <si>
    <t>2012411</t>
  </si>
  <si>
    <t>ALWAFI PHARMA</t>
  </si>
  <si>
    <t>2012412</t>
  </si>
  <si>
    <t>CARLISLE LABORATORIES LTD</t>
  </si>
  <si>
    <t>2012413</t>
  </si>
  <si>
    <t>HD SUPPLEMENTS LTD</t>
  </si>
  <si>
    <t>2012414</t>
  </si>
  <si>
    <t>CRC INC OF TEXAS</t>
  </si>
  <si>
    <t>2012415</t>
  </si>
  <si>
    <t>F HOFFMANN - LA ROCHE AG</t>
  </si>
  <si>
    <t>2012416</t>
  </si>
  <si>
    <t>CHRISTOFFEL APOTHEKE AG</t>
  </si>
  <si>
    <t>2012417</t>
  </si>
  <si>
    <t>SPENRO AIRCRAFT TOOL SUPPLY</t>
  </si>
  <si>
    <t>2012418</t>
  </si>
  <si>
    <t>REDECAN PHARM</t>
  </si>
  <si>
    <t>2012419</t>
  </si>
  <si>
    <t>PHARMAPACK</t>
  </si>
  <si>
    <t>2012430</t>
  </si>
  <si>
    <t>CASUAL MINTS</t>
  </si>
  <si>
    <t>2012426</t>
  </si>
  <si>
    <t>IKOCHMIKI SA</t>
  </si>
  <si>
    <t>2012427</t>
  </si>
  <si>
    <t>AVG LAB</t>
  </si>
  <si>
    <t>2012428</t>
  </si>
  <si>
    <t>FERRING PHARMACEUTICALS A/S</t>
  </si>
  <si>
    <t>2012429</t>
  </si>
  <si>
    <t>ROGUE DEFENSE</t>
  </si>
  <si>
    <t>2012431</t>
  </si>
  <si>
    <t>FRCA CORPORATION</t>
  </si>
  <si>
    <t>2012432</t>
  </si>
  <si>
    <t>POLPHARMA SANTO</t>
  </si>
  <si>
    <t>2012433</t>
  </si>
  <si>
    <t>IPCA LABORATORIES</t>
  </si>
  <si>
    <t>2012434</t>
  </si>
  <si>
    <t>TANTUS SP. Z.O.O.</t>
  </si>
  <si>
    <t>2012435</t>
  </si>
  <si>
    <t>LABORATORIO TIARAJU</t>
  </si>
  <si>
    <t>2012436</t>
  </si>
  <si>
    <t>INTREPID LABS INC</t>
  </si>
  <si>
    <t>2012437</t>
  </si>
  <si>
    <t>PRODUCTOS CIENTIFICOS SA DE CV</t>
  </si>
  <si>
    <t>2012438</t>
  </si>
  <si>
    <t>ESJAY PHARMA PRIVATE LIMITED</t>
  </si>
  <si>
    <t>2012439</t>
  </si>
  <si>
    <t>CID PHARMACEUTICAL</t>
  </si>
  <si>
    <t>2012440</t>
  </si>
  <si>
    <t>FARMAMAG AMBALAJ SANAYI VE TICARET ANONIM SIRKETI</t>
  </si>
  <si>
    <t>2012441</t>
  </si>
  <si>
    <t>CUNSA INTERNATIONAL</t>
  </si>
  <si>
    <t>2012443</t>
  </si>
  <si>
    <t>OMNISEAL SOLUTIONS</t>
  </si>
  <si>
    <t>2012442</t>
  </si>
  <si>
    <t>STEIGEN SA</t>
  </si>
  <si>
    <t>2012444</t>
  </si>
  <si>
    <t>SARL MAGIC BIO</t>
  </si>
  <si>
    <t>2012445</t>
  </si>
  <si>
    <t>SOIS LIFE SCIENCES</t>
  </si>
  <si>
    <t>2012446</t>
  </si>
  <si>
    <t>MEDICAIR BIOSCIENCE LABORATORIES SA</t>
  </si>
  <si>
    <t>2012447</t>
  </si>
  <si>
    <t>FARMELLAS INTERNATIONAL MON. I.K.E.(MEDICHROM)</t>
  </si>
  <si>
    <t>2012448</t>
  </si>
  <si>
    <t>BIOTECH USA LTD</t>
  </si>
  <si>
    <t>2012449</t>
  </si>
  <si>
    <t>PD LABS</t>
  </si>
  <si>
    <t>2012450</t>
  </si>
  <si>
    <t>AZURITY PHARMACEUTICALS</t>
  </si>
  <si>
    <t>2012453</t>
  </si>
  <si>
    <t>CRESCENT PHARMA</t>
  </si>
  <si>
    <t>2012451</t>
  </si>
  <si>
    <t>DROGADERMUS</t>
  </si>
  <si>
    <t>2012452</t>
  </si>
  <si>
    <t>EVOLUCIONA PHARMACY</t>
  </si>
  <si>
    <t>2012454</t>
  </si>
  <si>
    <t>CANGRO IND, AN APPLIED COMPANY</t>
  </si>
  <si>
    <t>2012458</t>
  </si>
  <si>
    <t>FUNKY UNICORN LLC</t>
  </si>
  <si>
    <t>2012456</t>
  </si>
  <si>
    <t>BEIGENE (SUZHOU) CO., LTD.</t>
  </si>
  <si>
    <t>2012462</t>
  </si>
  <si>
    <t>ATLANTIC GLOBAL SUPPLY LLC</t>
  </si>
  <si>
    <t>2012459</t>
  </si>
  <si>
    <t>KAYAKUSAFETY SYSTEMS (M) SDN.BHD</t>
  </si>
  <si>
    <t>2012460</t>
  </si>
  <si>
    <t>NEW ERA COMPOUNDING</t>
  </si>
  <si>
    <t>2012461</t>
  </si>
  <si>
    <t>AL-ALAMYAH COMPANY FOR PHARMACEUTICAL IND LTD IRAQ</t>
  </si>
  <si>
    <t>2012463</t>
  </si>
  <si>
    <t>ART OF BEVERAGE</t>
  </si>
  <si>
    <t>2012464</t>
  </si>
  <si>
    <t>ECOLAB-NC</t>
  </si>
  <si>
    <t>2012465</t>
  </si>
  <si>
    <t>ADWIA PHARMACEUTICAL</t>
  </si>
  <si>
    <t>2012466</t>
  </si>
  <si>
    <t>PHARMARKET, COLOMBIA</t>
  </si>
  <si>
    <t>2012467</t>
  </si>
  <si>
    <t>INDUSTRY SOLUTIONS USA LLC</t>
  </si>
  <si>
    <t>2012468</t>
  </si>
  <si>
    <t>EXFLUOR RESEARCH CORPORATION</t>
  </si>
  <si>
    <t>2012469</t>
  </si>
  <si>
    <t>NLRX</t>
  </si>
  <si>
    <t>2012470</t>
  </si>
  <si>
    <t>CAMS</t>
  </si>
  <si>
    <t>2012471</t>
  </si>
  <si>
    <t>SOLID DOSE TECHNOLOGY LLC</t>
  </si>
  <si>
    <t>2012472</t>
  </si>
  <si>
    <t>VITAMINS FOR LIFE LLC</t>
  </si>
  <si>
    <t>2012455</t>
  </si>
  <si>
    <t>ZIVAQ PHARMA</t>
  </si>
  <si>
    <t>NATOLI SCIENTIFIC</t>
  </si>
  <si>
    <t>Name</t>
  </si>
  <si>
    <t>Total</t>
  </si>
  <si>
    <t>INDUMAQ ER SAS</t>
  </si>
  <si>
    <t>PATHEON PHARMACEUTICALS INC. C/O THERMO FISHER SC</t>
  </si>
  <si>
    <t>SUCAVU</t>
  </si>
  <si>
    <t>2012122</t>
  </si>
  <si>
    <t>ELMET TECHNOLOGIES LLC</t>
  </si>
  <si>
    <t>OAKSHIRE MANUFACTURING CO. LLC</t>
  </si>
  <si>
    <t>STRIVE PHARMACY MISSOURI LLC</t>
  </si>
  <si>
    <t>PARTICLE DYNAMICS</t>
  </si>
  <si>
    <t>360 LABS, INC.</t>
  </si>
  <si>
    <t>2012182</t>
  </si>
  <si>
    <t>FABRICATION JAMP PHARMA INC.</t>
  </si>
  <si>
    <t>BELMAR PHARMACY</t>
  </si>
  <si>
    <t>KEL-SIE BIOTECH</t>
  </si>
  <si>
    <t>OUTPOST BRANDS</t>
  </si>
  <si>
    <t>BRAND PACKAGING/NUTRA GROUP</t>
  </si>
  <si>
    <t>OVERSEAS ORGANIX</t>
  </si>
  <si>
    <t>EPIQ SCRIPTS</t>
  </si>
  <si>
    <t>THANG BOTANICALS, INC.</t>
  </si>
  <si>
    <t>2012188</t>
  </si>
  <si>
    <t>BELLEVIEW BIOSCIENCE</t>
  </si>
  <si>
    <t>2012176</t>
  </si>
  <si>
    <t>WINMEDICA SA</t>
  </si>
  <si>
    <t>THE PHARMACY HUB</t>
  </si>
  <si>
    <t>AMPHASTAR PHARMACEUTICALS</t>
  </si>
  <si>
    <t>2012148</t>
  </si>
  <si>
    <t>2012046</t>
  </si>
  <si>
    <t>VITAMEDIC INDUSTRIA FARMACEUTICA LTDA</t>
  </si>
  <si>
    <t>BIO COMP PHARMA</t>
  </si>
  <si>
    <t>CTS CORPORATION</t>
  </si>
  <si>
    <t>2012196</t>
  </si>
  <si>
    <t>CH4 GLOBAL</t>
  </si>
  <si>
    <t>2012180</t>
  </si>
  <si>
    <t>2012177</t>
  </si>
  <si>
    <t>2012190</t>
  </si>
  <si>
    <t>ARAGEN LIFE SCIENCES LIMITED</t>
  </si>
  <si>
    <t>2012079</t>
  </si>
  <si>
    <t>SANDOZ TECHNICAL OPERATIONS (STO) BRAZIL</t>
  </si>
  <si>
    <t>2012167</t>
  </si>
  <si>
    <t>2012151</t>
  </si>
  <si>
    <t>MORGAN ADVANCED MATERIALS</t>
  </si>
  <si>
    <t>2012048</t>
  </si>
  <si>
    <t>GENELIFE SRL</t>
  </si>
  <si>
    <t>SEATTLE GOURMET FOODS, INC</t>
  </si>
  <si>
    <t>NUCROGENE INC</t>
  </si>
  <si>
    <t>DRALLIBOR CO DBA MOON DRAGON CO</t>
  </si>
  <si>
    <t>MISSOURI MANUFACTURING</t>
  </si>
  <si>
    <t>USI MANUFACTURING LLC</t>
  </si>
  <si>
    <t>2012157</t>
  </si>
  <si>
    <t>2012175</t>
  </si>
  <si>
    <t>6K ENERGY</t>
  </si>
  <si>
    <t>2012197</t>
  </si>
  <si>
    <t>WI TII PHARMACEUTICALS, INC.</t>
  </si>
  <si>
    <t>GLOBALLEE, INC</t>
  </si>
  <si>
    <t>ARIZONA NUTRITIONAL SUPPLEMENT</t>
  </si>
  <si>
    <t>2012194</t>
  </si>
  <si>
    <t>INTERM LLC</t>
  </si>
  <si>
    <t>2012186</t>
  </si>
  <si>
    <t>TRUNORTH-SOLUTIONS LLC</t>
  </si>
  <si>
    <t>2012056</t>
  </si>
  <si>
    <t>LABORATORIOS BIOGENET</t>
  </si>
  <si>
    <t>LABORATORIO LKM S.A. (KNIGHT THERAPUETICS)</t>
  </si>
  <si>
    <t>CAPPLUS TECHNOLOGIES, INC.</t>
  </si>
  <si>
    <t>2012202</t>
  </si>
  <si>
    <t>ARXADA</t>
  </si>
  <si>
    <t>2012082</t>
  </si>
  <si>
    <t>NATURION PHARMA INC.</t>
  </si>
  <si>
    <t>LABORATOIRE LSL INC.</t>
  </si>
  <si>
    <t>BOSTON UNIVERSITY</t>
  </si>
  <si>
    <t>NUTRAPRODUCTS INC.</t>
  </si>
  <si>
    <t>HARBOR HEALTH &amp; APOTHECARY</t>
  </si>
  <si>
    <t>PYXIS BIOLOGIX, INC.</t>
  </si>
  <si>
    <t>2012102</t>
  </si>
  <si>
    <t>5071 INC.</t>
  </si>
  <si>
    <t>ASPEN COPACKING</t>
  </si>
  <si>
    <t>AYR WELLNESS</t>
  </si>
  <si>
    <t>2011977</t>
  </si>
  <si>
    <t>2012036</t>
  </si>
  <si>
    <t>CBP NEW YORK LABORATORY</t>
  </si>
  <si>
    <t>SIGNAL PAHRMACEUTICALS LLC</t>
  </si>
  <si>
    <t>2012198</t>
  </si>
  <si>
    <t>BENTOLI INC.</t>
  </si>
  <si>
    <t>2012205</t>
  </si>
  <si>
    <t>MIGHTY VENTURES STUDIO LLC</t>
  </si>
  <si>
    <t>GENOVA BIOSCIENCES INC</t>
  </si>
  <si>
    <t>2012001</t>
  </si>
  <si>
    <t>VICI PEAK</t>
  </si>
  <si>
    <t>SIGMA CARE CORP</t>
  </si>
  <si>
    <t>ABC MANUFACTURING INC.</t>
  </si>
  <si>
    <t>NATOLI ENGINEERING</t>
  </si>
  <si>
    <t>SYKES SUPPLY</t>
  </si>
  <si>
    <t>SYNTIS BIO, INC.</t>
  </si>
  <si>
    <t>2012184</t>
  </si>
  <si>
    <t>HDJ IMPORT C.A.</t>
  </si>
  <si>
    <t>GENOVA PHARMA LLC</t>
  </si>
  <si>
    <t>PHARMAGEND GLOBAL MEDICAL SERVICES</t>
  </si>
  <si>
    <t>2012162</t>
  </si>
  <si>
    <t>EAGLE LABS INC.</t>
  </si>
  <si>
    <t>NOVATECH PROFESSIONAL CORP</t>
  </si>
  <si>
    <t>COPERNIC CATALYSTS</t>
  </si>
  <si>
    <t>SYNERGY HEALTH LABS</t>
  </si>
  <si>
    <t>2012189</t>
  </si>
  <si>
    <t>ST. FRANCIS HERB FARM, INC.</t>
  </si>
  <si>
    <t>CHEMPLEX INSUSTRIES, INC</t>
  </si>
  <si>
    <t>2012164</t>
  </si>
  <si>
    <t>TEXAS SAFETY AND INDUSTRIAL CO LLC</t>
  </si>
  <si>
    <t>LABORATORIOS SAVAL DE COSTA RICA S.A.</t>
  </si>
  <si>
    <t>IMBUCANNA, INC.</t>
  </si>
  <si>
    <t>TABPRESS</t>
  </si>
  <si>
    <t>TBN LABS LLC</t>
  </si>
  <si>
    <t>LABORATORIOS SIEGFRIED S.A.C.</t>
  </si>
  <si>
    <t>Average</t>
  </si>
  <si>
    <t>DR. REDDY'S LABORATORIES</t>
  </si>
  <si>
    <t>QS PHARMA</t>
  </si>
  <si>
    <t>MILLIMED BFS CO., LTD.</t>
  </si>
  <si>
    <t>ST. CLAIRE'S ORGANICS, INC.</t>
  </si>
  <si>
    <t>HARBOR COMPOUNDING PHARMACY</t>
  </si>
  <si>
    <t>WORKHORSE GLOBAL</t>
  </si>
  <si>
    <t>BIONOURISSO S DE RL DE CV</t>
  </si>
  <si>
    <t>IONIAN TECHNOLOGIES</t>
  </si>
  <si>
    <t>NUTRASKY</t>
  </si>
  <si>
    <t>PURE ESSENCE</t>
  </si>
  <si>
    <t>ECOLAB - MN</t>
  </si>
  <si>
    <t>DEHYDR8 LLC</t>
  </si>
  <si>
    <t>APOLLO SCIENCES</t>
  </si>
  <si>
    <t>PUROVITE, INC.</t>
  </si>
  <si>
    <t>RITSA PHARMA PRIVATE LIMITED</t>
  </si>
  <si>
    <t>SETIF MEDIC PRODUCTION SARL</t>
  </si>
  <si>
    <t>CHEW CPG, INC.</t>
  </si>
  <si>
    <t>MARIFARM D.O.O.</t>
  </si>
  <si>
    <t>DBL PHARMACEUTICALS INC.</t>
  </si>
  <si>
    <t>IFF</t>
  </si>
  <si>
    <t>VISUAL RIVET</t>
  </si>
  <si>
    <t>CSN PHARMA</t>
  </si>
  <si>
    <t>KIEWIT</t>
  </si>
  <si>
    <t>SUMITOMO PHARMA AMERICA, INC.</t>
  </si>
  <si>
    <t>TAYLORS PHARMACY</t>
  </si>
  <si>
    <t>IMA BRASIL</t>
  </si>
  <si>
    <t>LABORATORIO MALLEN</t>
  </si>
  <si>
    <t>LUXFER MAGTECH</t>
  </si>
  <si>
    <t>GREEN STAR LABS</t>
  </si>
  <si>
    <t>9292-3267 QUEBEC INC. DBA CHOCOPHARMA</t>
  </si>
  <si>
    <t>RAPHA HEALTH NETWORK INTERNATIONAL INC.</t>
  </si>
  <si>
    <t>THIRD HARMONIC BIO</t>
  </si>
  <si>
    <t>SIGNATURE BRANDS LLC</t>
  </si>
  <si>
    <t>SACEI NICOLAS VAN HAAREN (UREUGUAY)</t>
  </si>
  <si>
    <t>FLURRY POWDWERS</t>
  </si>
  <si>
    <t>WOOD DALE PHARMACY</t>
  </si>
  <si>
    <t>TIRUPATI WELLNESS PRIVATE LIMITED</t>
  </si>
  <si>
    <t>CO-DIAGNOSTICS, INC.</t>
  </si>
  <si>
    <t>THANEL ENTERPRISES</t>
  </si>
  <si>
    <t>SURETE DU QUEBEC - SECO EST</t>
  </si>
  <si>
    <t>EW PACKAGING</t>
  </si>
  <si>
    <t>BULK MRO INDUSTRIAL SUPPLY PVT. LTD.</t>
  </si>
  <si>
    <t>NEXT WAVE</t>
  </si>
  <si>
    <t>A-1 MEDICAL INTEGRATION</t>
  </si>
  <si>
    <t>IMPORT SOLUCIONES SAS</t>
  </si>
  <si>
    <t>MP BIOMEDICAL</t>
  </si>
  <si>
    <t>HEATH ARMBRUSTER</t>
  </si>
  <si>
    <t>AVIOR BIO INC.</t>
  </si>
  <si>
    <t>TARA INNOVATIONS LLC</t>
  </si>
  <si>
    <t>TESLA MOTORS</t>
  </si>
  <si>
    <t>DILLIGAD CONSULTING LLC</t>
  </si>
  <si>
    <t>ENSIGN BICKFORD</t>
  </si>
  <si>
    <t>MOSAIC</t>
  </si>
  <si>
    <t>UNIVERSAL TOOL AND SUPPLY</t>
  </si>
  <si>
    <t>PHCH ARM LLC</t>
  </si>
  <si>
    <t>ORIC PHARMACEUTICALS</t>
  </si>
  <si>
    <t>SUPERNATURAL</t>
  </si>
  <si>
    <t>FAZER MAKEISET OY</t>
  </si>
  <si>
    <t>VEERA LABS</t>
  </si>
  <si>
    <t>CREATIVE PRIVATE LABEL, LLC</t>
  </si>
  <si>
    <t>PSS PNEUMATIC SYSTEM SOLUTIONS MON.IKE</t>
  </si>
  <si>
    <t>FLUENT</t>
  </si>
  <si>
    <t>SAFER CBD</t>
  </si>
  <si>
    <t xml:space="preserve">$-   </t>
  </si>
  <si>
    <t>VIDYA HERBS</t>
  </si>
  <si>
    <t>AGS TECHNOLOGY, INC.</t>
  </si>
  <si>
    <t>AIM INDUSTRIES</t>
  </si>
  <si>
    <t>CANON VIRGINIA INC</t>
  </si>
  <si>
    <t>YOUNG DESIGN - MANUFACTURING</t>
  </si>
  <si>
    <t>Count</t>
  </si>
  <si>
    <t>Ordered</t>
  </si>
  <si>
    <t>2011947</t>
  </si>
  <si>
    <t>GLOBEPACK EQUIPMENT</t>
  </si>
  <si>
    <t>2011948</t>
  </si>
  <si>
    <t>MASTERSON GROUP</t>
  </si>
  <si>
    <t>2011950</t>
  </si>
  <si>
    <t>SYNERGY BIOLOGICS</t>
  </si>
  <si>
    <t>2011951</t>
  </si>
  <si>
    <t>OPEN BOOK EXTRACTS</t>
  </si>
  <si>
    <t>2011952</t>
  </si>
  <si>
    <t>MATRIX PHARMA</t>
  </si>
  <si>
    <t>2011954</t>
  </si>
  <si>
    <t>INDIAN PHARMACEUTICAL ASSOC. - MAHARASHTRA BRANCH</t>
  </si>
  <si>
    <t>2011955</t>
  </si>
  <si>
    <t>NEOPHARMA A.S.</t>
  </si>
  <si>
    <t>2011960</t>
  </si>
  <si>
    <t>ELABORADOS DIETETICOS SA</t>
  </si>
  <si>
    <t>2011961</t>
  </si>
  <si>
    <t>HIMS &amp; HERS UK LIMITED</t>
  </si>
  <si>
    <t>2011963</t>
  </si>
  <si>
    <t>LAUBER &amp; ASSOCIATES</t>
  </si>
  <si>
    <t>2011964</t>
  </si>
  <si>
    <t>LUBRIZOL LIFE SCIENCE, HEALTH</t>
  </si>
  <si>
    <t>2011965</t>
  </si>
  <si>
    <t>VALIANT COMPOUNDING PHARMACY</t>
  </si>
  <si>
    <t>2011966</t>
  </si>
  <si>
    <t>GOODWILL PHARMA NYRT</t>
  </si>
  <si>
    <t>2011970</t>
  </si>
  <si>
    <t>ARKEASLAB</t>
  </si>
  <si>
    <t>2011971</t>
  </si>
  <si>
    <t>SUN DISTRIBUTION</t>
  </si>
  <si>
    <t>2011974</t>
  </si>
  <si>
    <t>PT SETIA KAWAN ABADI</t>
  </si>
  <si>
    <t>2011975</t>
  </si>
  <si>
    <t>ST. PETER'S INSTITUTE OF PHARMACEUTICAL SCIENCES</t>
  </si>
  <si>
    <t>ALTASCIENCES CDMO PHILADELPHAI, LLC</t>
  </si>
  <si>
    <t>2011980</t>
  </si>
  <si>
    <t>APL HEALTH CARE, UNIT-II JADCHERLA</t>
  </si>
  <si>
    <t>2011983</t>
  </si>
  <si>
    <t>UNITHER PHARMACEUTICALS BRAZIL</t>
  </si>
  <si>
    <t>2011987</t>
  </si>
  <si>
    <t>TECHNOROM LLC</t>
  </si>
  <si>
    <t>2011990</t>
  </si>
  <si>
    <t>XAVIER CREATIVE HOUSE</t>
  </si>
  <si>
    <t>2011993</t>
  </si>
  <si>
    <t>SINGAPORE POLYTECHNIC</t>
  </si>
  <si>
    <t>2011994</t>
  </si>
  <si>
    <t>GEN ILAC VE SAGLIK URUNLERI SANAYI VE TICARET A.S.</t>
  </si>
  <si>
    <t>2011995</t>
  </si>
  <si>
    <t>PHARMED HEALTHCARE</t>
  </si>
  <si>
    <t>2011997</t>
  </si>
  <si>
    <t>STANDARD WELLNESS</t>
  </si>
  <si>
    <t>2011998</t>
  </si>
  <si>
    <t>ENILIFE LABORATORIES</t>
  </si>
  <si>
    <t>2011999</t>
  </si>
  <si>
    <t>BIORESEARCH DE MEXICO SA DE CV</t>
  </si>
  <si>
    <t>2012002</t>
  </si>
  <si>
    <t>FILOFARM</t>
  </si>
  <si>
    <t>2012003</t>
  </si>
  <si>
    <t>TIPHARCO JOINT STOCK COMPANY</t>
  </si>
  <si>
    <t>2012004</t>
  </si>
  <si>
    <t>THREERAMETH HERBAL</t>
  </si>
  <si>
    <t>2012005</t>
  </si>
  <si>
    <t>POPULAR PHARMACEUTICALS LTD.</t>
  </si>
  <si>
    <t>2012006</t>
  </si>
  <si>
    <t>ERICK MOYANO</t>
  </si>
  <si>
    <t>2012009</t>
  </si>
  <si>
    <t>ACAPSIA PHARMA PRODUCTION GMBH</t>
  </si>
  <si>
    <t>2012010</t>
  </si>
  <si>
    <t>GEN-PLUS GMBH &amp; CO KG</t>
  </si>
  <si>
    <t>2012007</t>
  </si>
  <si>
    <t>EHF PRODUCTION BV</t>
  </si>
  <si>
    <t>2012017</t>
  </si>
  <si>
    <t>SIDEFARMA SA</t>
  </si>
  <si>
    <t>2012022</t>
  </si>
  <si>
    <t>ANALYTINFORM LLC</t>
  </si>
  <si>
    <t>2012026</t>
  </si>
  <si>
    <t>PHARMARON (NINGBO) TECHNOLOGY DEVELOPMENT CO., LTD</t>
  </si>
  <si>
    <t>2012027</t>
  </si>
  <si>
    <t>2012028</t>
  </si>
  <si>
    <t>ALPHA</t>
  </si>
  <si>
    <t>2012030</t>
  </si>
  <si>
    <t>CODILAB</t>
  </si>
  <si>
    <t>2012031</t>
  </si>
  <si>
    <t>VBALI PILOT PLANT LTD</t>
  </si>
  <si>
    <t>2012037</t>
  </si>
  <si>
    <t>INGROSE INC</t>
  </si>
  <si>
    <t>2012039</t>
  </si>
  <si>
    <t>CONNOLLY'S RED MILLS</t>
  </si>
  <si>
    <t>2012047</t>
  </si>
  <si>
    <t>MO ADVANCED TECHNOLOGY LTD</t>
  </si>
  <si>
    <t>2012052</t>
  </si>
  <si>
    <t>DELTAS PROYECTOS E INVERSIONES, ANONIMA DE CAPITAL</t>
  </si>
  <si>
    <t>2012054</t>
  </si>
  <si>
    <t>ORKLA</t>
  </si>
  <si>
    <t>2012055</t>
  </si>
  <si>
    <t>ELYSIUM PHARMACEUTICALS LTD.</t>
  </si>
  <si>
    <t>2012058</t>
  </si>
  <si>
    <t>BIOPRONEC CIA. LTDA.</t>
  </si>
  <si>
    <t>2012059</t>
  </si>
  <si>
    <t>JL SUPPLEMENTS LIMITED</t>
  </si>
  <si>
    <t>2012061</t>
  </si>
  <si>
    <t>US PHARMA USA JOINT STOCK COMPANY (USP)</t>
  </si>
  <si>
    <t>2012065</t>
  </si>
  <si>
    <t>ABBOTT HEALTHCARE PVT. LTD.</t>
  </si>
  <si>
    <t>2012066</t>
  </si>
  <si>
    <t>LIVING NATURAL</t>
  </si>
  <si>
    <t>2012067</t>
  </si>
  <si>
    <t>GM PHARMACEUTICALS, INC.</t>
  </si>
  <si>
    <t>2012070</t>
  </si>
  <si>
    <t>VITA ENTERPRISES LIMITED</t>
  </si>
  <si>
    <t>2012073</t>
  </si>
  <si>
    <t>PRODUTOS ROCHE QUIMICOS E FARMACEUTICOS S.A.</t>
  </si>
  <si>
    <t>2012075</t>
  </si>
  <si>
    <t>SCANDENS PHARMACEUTICAL INDUSTRIES LTD.</t>
  </si>
  <si>
    <t>2012078</t>
  </si>
  <si>
    <t>MEDITAB SPECIALTIES PVT. LTD.</t>
  </si>
  <si>
    <t>2012081</t>
  </si>
  <si>
    <t>VEYL WELLNESS WORKS DBA NUTRITIO</t>
  </si>
  <si>
    <t>REVELATION PHARMA LLC</t>
  </si>
  <si>
    <t>2012083</t>
  </si>
  <si>
    <t>DBL PHARMA</t>
  </si>
  <si>
    <t>2012084</t>
  </si>
  <si>
    <t>KLOCKNER PENTAPLAST</t>
  </si>
  <si>
    <t>2012085</t>
  </si>
  <si>
    <t>SUN-FARM SP. Z O.O.</t>
  </si>
  <si>
    <t>2012086</t>
  </si>
  <si>
    <t>SIGNAPORE INSTITUTE OF TECHNOLOGY</t>
  </si>
  <si>
    <t>2012087</t>
  </si>
  <si>
    <t>PINNACLE LIFE SCIENCE</t>
  </si>
  <si>
    <t>2012089</t>
  </si>
  <si>
    <t>GRIFOLS CANADA THERAPEUTICS</t>
  </si>
  <si>
    <t>2012092</t>
  </si>
  <si>
    <t>NIHON PHARMACEUTICAL INDUSTRY CO. LTD.</t>
  </si>
  <si>
    <t>2012093</t>
  </si>
  <si>
    <t>COMUNDIAL INC.</t>
  </si>
  <si>
    <t>2012095</t>
  </si>
  <si>
    <t>FIRST TECHNOLOGY</t>
  </si>
  <si>
    <t>2012096</t>
  </si>
  <si>
    <t>GLOBAL MACHINERY SAS</t>
  </si>
  <si>
    <t>2012097</t>
  </si>
  <si>
    <t>LABORATORIOS ECAR</t>
  </si>
  <si>
    <t>2012098</t>
  </si>
  <si>
    <t>MAURICIO ANDRES GARCIA ALCALDE</t>
  </si>
  <si>
    <t>2012100</t>
  </si>
  <si>
    <t>BAZELET NEHUSHTAN LTD</t>
  </si>
  <si>
    <t>2012099</t>
  </si>
  <si>
    <t>BE BLUM S.A.S.</t>
  </si>
  <si>
    <t>2012101</t>
  </si>
  <si>
    <t>UNIVERSIDAD DE ANTIOQUIA</t>
  </si>
  <si>
    <t>2012103</t>
  </si>
  <si>
    <t>MUCOS GMBH</t>
  </si>
  <si>
    <t>2012105</t>
  </si>
  <si>
    <t>OVERDO LLC</t>
  </si>
  <si>
    <t>2012106</t>
  </si>
  <si>
    <t>SONORAN NUTRA</t>
  </si>
  <si>
    <t>2012107</t>
  </si>
  <si>
    <t>YOUR GREEN CURE</t>
  </si>
  <si>
    <t>2012108</t>
  </si>
  <si>
    <t>WI TII PHARMACEUTICALS</t>
  </si>
  <si>
    <t>2012109</t>
  </si>
  <si>
    <t>SHANGHAI FOREFRONT PHARMA</t>
  </si>
  <si>
    <t>2012110</t>
  </si>
  <si>
    <t>UNIAO QUIMICA INTERNACIONAL LTDA</t>
  </si>
  <si>
    <t>2012112</t>
  </si>
  <si>
    <t>VPI COMPOUNDING</t>
  </si>
  <si>
    <t>2012113</t>
  </si>
  <si>
    <t>LABORATORIO FARMACEUTICO DNSFFAA</t>
  </si>
  <si>
    <t>2012120</t>
  </si>
  <si>
    <t>CALOX</t>
  </si>
  <si>
    <t>2012121</t>
  </si>
  <si>
    <t>BALANCE PHARMA</t>
  </si>
  <si>
    <t>2012123</t>
  </si>
  <si>
    <t>RAYLAB</t>
  </si>
  <si>
    <t>2012127</t>
  </si>
  <si>
    <t>SIEGFRIED - ROOEMERS</t>
  </si>
  <si>
    <t>2012128</t>
  </si>
  <si>
    <t>COS LAB GROUP P.S.A</t>
  </si>
  <si>
    <t>2012129</t>
  </si>
  <si>
    <t>ABBOTT LAB</t>
  </si>
  <si>
    <t>2012130</t>
  </si>
  <si>
    <t>NEXT PHARMA</t>
  </si>
  <si>
    <t>2012133</t>
  </si>
  <si>
    <t>INDSUTRIAL FARMACEUTICA CANTABRIA S.A.</t>
  </si>
  <si>
    <t>2012134</t>
  </si>
  <si>
    <t>AL MEDI-MARKET</t>
  </si>
  <si>
    <t>2012137</t>
  </si>
  <si>
    <t>TECNOQUIMICAS S.A.</t>
  </si>
  <si>
    <t>2012140</t>
  </si>
  <si>
    <t>TROPICAL SPICES S.A.S.</t>
  </si>
  <si>
    <t>2012138</t>
  </si>
  <si>
    <t>GENFAR</t>
  </si>
  <si>
    <t>2012141</t>
  </si>
  <si>
    <t>KISUMA CHEMICALS B.V.</t>
  </si>
  <si>
    <t>2012142</t>
  </si>
  <si>
    <t>LABORATORIOS SANFER S.A. de C.V.</t>
  </si>
  <si>
    <t>2012145</t>
  </si>
  <si>
    <t>FARMACOL CHINOIN</t>
  </si>
  <si>
    <t>THE CATHAY DRUG COMPANY, INC.</t>
  </si>
  <si>
    <t>2012149</t>
  </si>
  <si>
    <t>FARMASIERRA</t>
  </si>
  <si>
    <t>2012150</t>
  </si>
  <si>
    <t>MISK PHARMACEUTICALS INDUSTRIES CO.</t>
  </si>
  <si>
    <t>2012152</t>
  </si>
  <si>
    <t>FABRIFARMA</t>
  </si>
  <si>
    <t>2012153</t>
  </si>
  <si>
    <t>U-LIANG PHARMACEUTICAL CO., LTD.</t>
  </si>
  <si>
    <t>2012154</t>
  </si>
  <si>
    <t>CERAMIC TECHNOLOGIES CORPORATION</t>
  </si>
  <si>
    <t>2012155</t>
  </si>
  <si>
    <t>TEXAS STAR PHARMACY</t>
  </si>
  <si>
    <t>2012156</t>
  </si>
  <si>
    <t>DR. REDDY'S LABORATORIES LIMITED</t>
  </si>
  <si>
    <t>ENERPILL LLC</t>
  </si>
  <si>
    <t>2012158</t>
  </si>
  <si>
    <t>GENSENTA ILAC SANAYI</t>
  </si>
  <si>
    <t>2012160</t>
  </si>
  <si>
    <t>INCOBRA</t>
  </si>
  <si>
    <t>2012163</t>
  </si>
  <si>
    <t>MANDYS CANDYS</t>
  </si>
  <si>
    <t>2012161</t>
  </si>
  <si>
    <t>ORGANIK</t>
  </si>
  <si>
    <t>2012165</t>
  </si>
  <si>
    <t>NORTH STAR COATING, INC.</t>
  </si>
  <si>
    <t>2012166</t>
  </si>
  <si>
    <t>ZYDUS NIKKHO FARMACEUTICA LTDA</t>
  </si>
  <si>
    <t>WHAM! MINTS</t>
  </si>
  <si>
    <t>2012168</t>
  </si>
  <si>
    <t>FARMACO URUGUAYO SA</t>
  </si>
  <si>
    <t>2012169</t>
  </si>
  <si>
    <t>WALLISMAIN</t>
  </si>
  <si>
    <t>2012170</t>
  </si>
  <si>
    <t>ATEA PHARMACEUTICALS, INC.</t>
  </si>
  <si>
    <t>2012171</t>
  </si>
  <si>
    <t>FOCUS NUTRITION</t>
  </si>
  <si>
    <t>2012172</t>
  </si>
  <si>
    <t>CIELO MANUFACTURING</t>
  </si>
  <si>
    <t>SP BIO MANUFACTURING</t>
  </si>
  <si>
    <t>2012178</t>
  </si>
  <si>
    <t>TAKEDA PHARMA LTDA</t>
  </si>
  <si>
    <t>SARL BIOREM ALGERIA</t>
  </si>
  <si>
    <t>HUMAN INGENUITY, INC.</t>
  </si>
  <si>
    <t>2012185</t>
  </si>
  <si>
    <t>THERASKIN FARMACEUTICA LTDA</t>
  </si>
  <si>
    <t>2012193</t>
  </si>
  <si>
    <t>ELEMENTIS SPECIALTIES</t>
  </si>
  <si>
    <t>DAIRY PILL</t>
  </si>
  <si>
    <t>2012199</t>
  </si>
  <si>
    <t>JSC FARMAK</t>
  </si>
  <si>
    <t>2012200</t>
  </si>
  <si>
    <t>TUTEUR SACIFIA</t>
  </si>
  <si>
    <t>2012201</t>
  </si>
  <si>
    <t>TAYLOR LOEFFLER</t>
  </si>
  <si>
    <t>2012203</t>
  </si>
  <si>
    <t>TALLERES SANCHEZ SRL</t>
  </si>
  <si>
    <t>Customer</t>
  </si>
  <si>
    <t>Conversion %</t>
  </si>
  <si>
    <t>Total from New Business</t>
  </si>
  <si>
    <t>New Customers No Sale</t>
  </si>
  <si>
    <t>New Customers Sale</t>
  </si>
  <si>
    <t>New Customer Sale</t>
  </si>
  <si>
    <t>New Customer No Sale</t>
  </si>
  <si>
    <t>Average w/o freight</t>
  </si>
  <si>
    <t>Average w/o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</si>
</sst>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44" fontId="0" fillId="0" borderId="0" xfId="0" applyNumberForma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4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0" fontId="0" fillId="0" borderId="0" xfId="0" applyNumberFormat="1"/>
    <xf numFmtId="0" fontId="4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9B9A-579E-4D2E-8A3E-6158A50B4A64}">
  <dimension ref="A1:I161"/>
  <sheetViews>
    <sheetView tabSelected="1" topLeftCell="A70" workbookViewId="0">
      <selection activeCell="E19" sqref="E19"/>
    </sheetView>
  </sheetViews>
  <sheetFormatPr defaultRowHeight="14.5" x14ac:dyDescent="0.35"/>
  <cols>
    <col min="2" max="2" width="57" bestFit="1" customWidth="1"/>
    <col min="3" max="3" width="12.54296875" bestFit="1" customWidth="1"/>
    <col min="5" max="5" width="30.7265625" bestFit="1" customWidth="1"/>
    <col min="6" max="6" width="14.26953125" bestFit="1" customWidth="1"/>
    <col min="9" max="9" width="58.81640625" bestFit="1" customWidth="1"/>
  </cols>
  <sheetData>
    <row r="1" spans="1:9" x14ac:dyDescent="0.35">
      <c r="A1" s="11" t="s">
        <v>954</v>
      </c>
      <c r="B1" s="11"/>
      <c r="H1" s="11" t="s">
        <v>953</v>
      </c>
      <c r="I1" s="11"/>
    </row>
    <row r="2" spans="1:9" x14ac:dyDescent="0.35">
      <c r="A2" t="s">
        <v>950</v>
      </c>
      <c r="B2" t="s">
        <v>512</v>
      </c>
      <c r="C2" t="s">
        <v>513</v>
      </c>
      <c r="H2" t="s">
        <v>950</v>
      </c>
      <c r="I2" t="s">
        <v>512</v>
      </c>
    </row>
    <row r="3" spans="1:9" x14ac:dyDescent="0.35">
      <c r="A3" s="3" t="s">
        <v>184</v>
      </c>
      <c r="B3" s="4" t="s">
        <v>519</v>
      </c>
      <c r="C3" s="2">
        <v>220902.43</v>
      </c>
      <c r="E3" t="s">
        <v>624</v>
      </c>
      <c r="F3" s="2">
        <f>AVERAGE(C:C)</f>
        <v>11140.615740740739</v>
      </c>
      <c r="H3" s="1" t="s">
        <v>4</v>
      </c>
      <c r="I3" s="1" t="s">
        <v>5</v>
      </c>
    </row>
    <row r="4" spans="1:9" x14ac:dyDescent="0.35">
      <c r="A4" s="3" t="s">
        <v>346</v>
      </c>
      <c r="B4" s="4" t="s">
        <v>347</v>
      </c>
      <c r="C4" s="2">
        <v>160305</v>
      </c>
      <c r="E4" t="s">
        <v>958</v>
      </c>
      <c r="F4" s="2">
        <f>F3-F3*0.16</f>
        <v>9358.1172222222212</v>
      </c>
      <c r="H4" s="1" t="s">
        <v>6</v>
      </c>
      <c r="I4" s="1" t="s">
        <v>7</v>
      </c>
    </row>
    <row r="5" spans="1:9" x14ac:dyDescent="0.35">
      <c r="A5" s="3" t="s">
        <v>473</v>
      </c>
      <c r="B5" s="4" t="s">
        <v>474</v>
      </c>
      <c r="C5" s="2">
        <v>127705</v>
      </c>
      <c r="H5" s="1" t="s">
        <v>8</v>
      </c>
      <c r="I5" s="1" t="s">
        <v>9</v>
      </c>
    </row>
    <row r="6" spans="1:9" x14ac:dyDescent="0.35">
      <c r="A6" s="3" t="s">
        <v>501</v>
      </c>
      <c r="B6" s="4" t="s">
        <v>502</v>
      </c>
      <c r="C6" s="2">
        <v>110280.05000000005</v>
      </c>
      <c r="E6" t="s">
        <v>694</v>
      </c>
      <c r="F6">
        <v>296</v>
      </c>
      <c r="H6" s="1" t="s">
        <v>10</v>
      </c>
      <c r="I6" s="1" t="s">
        <v>11</v>
      </c>
    </row>
    <row r="7" spans="1:9" x14ac:dyDescent="0.35">
      <c r="A7" s="3" t="s">
        <v>22</v>
      </c>
      <c r="B7" s="4" t="s">
        <v>23</v>
      </c>
      <c r="C7" s="2">
        <v>44641.609999999993</v>
      </c>
      <c r="E7" t="s">
        <v>695</v>
      </c>
      <c r="F7">
        <v>108</v>
      </c>
      <c r="H7" s="1" t="s">
        <v>16</v>
      </c>
      <c r="I7" s="1" t="s">
        <v>17</v>
      </c>
    </row>
    <row r="8" spans="1:9" x14ac:dyDescent="0.35">
      <c r="A8" s="3" t="s">
        <v>297</v>
      </c>
      <c r="B8" s="4" t="s">
        <v>298</v>
      </c>
      <c r="C8" s="2">
        <v>41351.85</v>
      </c>
      <c r="H8" s="1" t="s">
        <v>18</v>
      </c>
      <c r="I8" s="1" t="s">
        <v>19</v>
      </c>
    </row>
    <row r="9" spans="1:9" x14ac:dyDescent="0.35">
      <c r="A9" s="3" t="s">
        <v>40</v>
      </c>
      <c r="B9" s="4" t="s">
        <v>41</v>
      </c>
      <c r="C9" s="2">
        <v>32969.759999999966</v>
      </c>
      <c r="E9" t="s">
        <v>951</v>
      </c>
      <c r="F9" s="10">
        <f>F7/F6</f>
        <v>0.36486486486486486</v>
      </c>
      <c r="H9" s="1" t="s">
        <v>20</v>
      </c>
      <c r="I9" s="1" t="s">
        <v>21</v>
      </c>
    </row>
    <row r="10" spans="1:9" x14ac:dyDescent="0.35">
      <c r="A10" s="3" t="s">
        <v>143</v>
      </c>
      <c r="B10" s="4" t="s">
        <v>144</v>
      </c>
      <c r="C10" s="2">
        <v>31521.040000000001</v>
      </c>
      <c r="H10" s="1" t="s">
        <v>27</v>
      </c>
      <c r="I10" s="1" t="s">
        <v>28</v>
      </c>
    </row>
    <row r="11" spans="1:9" x14ac:dyDescent="0.35">
      <c r="A11" s="3" t="s">
        <v>218</v>
      </c>
      <c r="B11" s="4" t="s">
        <v>219</v>
      </c>
      <c r="C11" s="2">
        <v>30113.68</v>
      </c>
      <c r="E11" t="s">
        <v>952</v>
      </c>
      <c r="F11" s="2">
        <f>SUM(C:C)</f>
        <v>1203186.4999999998</v>
      </c>
      <c r="H11" s="1" t="s">
        <v>29</v>
      </c>
      <c r="I11" s="1" t="s">
        <v>30</v>
      </c>
    </row>
    <row r="12" spans="1:9" x14ac:dyDescent="0.35">
      <c r="A12" s="3" t="s">
        <v>199</v>
      </c>
      <c r="B12" s="4" t="s">
        <v>200</v>
      </c>
      <c r="C12" s="2">
        <v>27031.159999999996</v>
      </c>
      <c r="H12" s="1" t="s">
        <v>33</v>
      </c>
      <c r="I12" s="1" t="s">
        <v>34</v>
      </c>
    </row>
    <row r="13" spans="1:9" x14ac:dyDescent="0.35">
      <c r="A13" s="3" t="s">
        <v>145</v>
      </c>
      <c r="B13" s="4" t="s">
        <v>146</v>
      </c>
      <c r="C13" s="2">
        <v>25884.230000000003</v>
      </c>
      <c r="H13" s="1" t="s">
        <v>35</v>
      </c>
      <c r="I13" s="1" t="s">
        <v>36</v>
      </c>
    </row>
    <row r="14" spans="1:9" x14ac:dyDescent="0.35">
      <c r="A14" s="3" t="s">
        <v>176</v>
      </c>
      <c r="B14" s="4" t="s">
        <v>177</v>
      </c>
      <c r="C14" s="2">
        <v>24700</v>
      </c>
      <c r="H14" s="1" t="s">
        <v>37</v>
      </c>
      <c r="I14" s="1" t="s">
        <v>38</v>
      </c>
    </row>
    <row r="15" spans="1:9" x14ac:dyDescent="0.35">
      <c r="A15" s="3" t="s">
        <v>367</v>
      </c>
      <c r="B15" s="4" t="s">
        <v>368</v>
      </c>
      <c r="C15" s="5">
        <v>23758.7</v>
      </c>
      <c r="H15" s="1" t="s">
        <v>42</v>
      </c>
      <c r="I15" s="1" t="s">
        <v>43</v>
      </c>
    </row>
    <row r="16" spans="1:9" x14ac:dyDescent="0.35">
      <c r="A16" s="3" t="s">
        <v>253</v>
      </c>
      <c r="B16" s="4" t="s">
        <v>254</v>
      </c>
      <c r="C16" s="2">
        <v>19266.55</v>
      </c>
      <c r="H16" s="1" t="s">
        <v>48</v>
      </c>
      <c r="I16" s="1" t="s">
        <v>49</v>
      </c>
    </row>
    <row r="17" spans="1:9" x14ac:dyDescent="0.35">
      <c r="A17" s="3" t="s">
        <v>168</v>
      </c>
      <c r="B17" s="4" t="s">
        <v>169</v>
      </c>
      <c r="C17" s="2">
        <v>18964.55</v>
      </c>
      <c r="H17" s="1" t="s">
        <v>50</v>
      </c>
      <c r="I17" s="1" t="s">
        <v>51</v>
      </c>
    </row>
    <row r="18" spans="1:9" x14ac:dyDescent="0.35">
      <c r="A18" s="3" t="s">
        <v>363</v>
      </c>
      <c r="B18" s="4" t="s">
        <v>364</v>
      </c>
      <c r="C18" s="2">
        <v>18130.519999999997</v>
      </c>
      <c r="H18" s="1" t="s">
        <v>52</v>
      </c>
      <c r="I18" s="1" t="s">
        <v>53</v>
      </c>
    </row>
    <row r="19" spans="1:9" x14ac:dyDescent="0.35">
      <c r="A19" s="3" t="s">
        <v>369</v>
      </c>
      <c r="B19" s="4" t="s">
        <v>370</v>
      </c>
      <c r="C19" s="5">
        <v>16792.5</v>
      </c>
      <c r="H19" s="1" t="s">
        <v>54</v>
      </c>
      <c r="I19" s="1" t="s">
        <v>55</v>
      </c>
    </row>
    <row r="20" spans="1:9" x14ac:dyDescent="0.35">
      <c r="A20" s="3" t="s">
        <v>233</v>
      </c>
      <c r="B20" s="4" t="s">
        <v>234</v>
      </c>
      <c r="C20" s="2">
        <v>16254.17</v>
      </c>
      <c r="H20" s="1" t="s">
        <v>57</v>
      </c>
      <c r="I20" s="1" t="s">
        <v>58</v>
      </c>
    </row>
    <row r="21" spans="1:9" x14ac:dyDescent="0.35">
      <c r="A21" s="3" t="s">
        <v>387</v>
      </c>
      <c r="B21" s="4" t="s">
        <v>388</v>
      </c>
      <c r="C21" s="2">
        <v>9935.6899999999987</v>
      </c>
      <c r="H21" s="1" t="s">
        <v>63</v>
      </c>
      <c r="I21" s="1" t="s">
        <v>64</v>
      </c>
    </row>
    <row r="22" spans="1:9" x14ac:dyDescent="0.35">
      <c r="A22" s="3" t="s">
        <v>401</v>
      </c>
      <c r="B22" s="4" t="s">
        <v>402</v>
      </c>
      <c r="C22" s="2">
        <v>9624.18</v>
      </c>
      <c r="H22" s="1" t="s">
        <v>67</v>
      </c>
      <c r="I22" s="1" t="s">
        <v>68</v>
      </c>
    </row>
    <row r="23" spans="1:9" x14ac:dyDescent="0.35">
      <c r="A23" s="3" t="s">
        <v>12</v>
      </c>
      <c r="B23" s="4" t="s">
        <v>522</v>
      </c>
      <c r="C23" s="2">
        <v>9279.57</v>
      </c>
      <c r="H23" s="1" t="s">
        <v>71</v>
      </c>
      <c r="I23" s="1" t="s">
        <v>72</v>
      </c>
    </row>
    <row r="24" spans="1:9" x14ac:dyDescent="0.35">
      <c r="A24" s="3" t="s">
        <v>165</v>
      </c>
      <c r="B24" s="4" t="s">
        <v>557</v>
      </c>
      <c r="C24" s="2">
        <v>9274.32</v>
      </c>
      <c r="H24" s="1" t="s">
        <v>79</v>
      </c>
      <c r="I24" s="1" t="s">
        <v>80</v>
      </c>
    </row>
    <row r="25" spans="1:9" x14ac:dyDescent="0.35">
      <c r="A25" s="3" t="s">
        <v>325</v>
      </c>
      <c r="B25" s="4" t="s">
        <v>326</v>
      </c>
      <c r="C25" s="2">
        <v>9197.7400000000016</v>
      </c>
      <c r="H25" s="1" t="s">
        <v>83</v>
      </c>
      <c r="I25" s="1" t="s">
        <v>84</v>
      </c>
    </row>
    <row r="26" spans="1:9" x14ac:dyDescent="0.35">
      <c r="A26" s="3" t="s">
        <v>87</v>
      </c>
      <c r="B26" s="4" t="s">
        <v>88</v>
      </c>
      <c r="C26" s="2">
        <v>8491.2900000000009</v>
      </c>
      <c r="H26" s="1" t="s">
        <v>85</v>
      </c>
      <c r="I26" s="1" t="s">
        <v>86</v>
      </c>
    </row>
    <row r="27" spans="1:9" x14ac:dyDescent="0.35">
      <c r="A27" s="3" t="s">
        <v>77</v>
      </c>
      <c r="B27" s="4" t="s">
        <v>78</v>
      </c>
      <c r="C27" s="2">
        <v>7775.37</v>
      </c>
      <c r="H27" s="1" t="s">
        <v>91</v>
      </c>
      <c r="I27" s="1" t="s">
        <v>92</v>
      </c>
    </row>
    <row r="28" spans="1:9" x14ac:dyDescent="0.35">
      <c r="A28" s="3" t="s">
        <v>350</v>
      </c>
      <c r="B28" s="4" t="s">
        <v>351</v>
      </c>
      <c r="C28" s="2">
        <v>6526.4</v>
      </c>
      <c r="H28" s="1" t="s">
        <v>101</v>
      </c>
      <c r="I28" s="1" t="s">
        <v>102</v>
      </c>
    </row>
    <row r="29" spans="1:9" x14ac:dyDescent="0.35">
      <c r="A29" s="3" t="s">
        <v>44</v>
      </c>
      <c r="B29" s="4" t="s">
        <v>45</v>
      </c>
      <c r="C29" s="2">
        <v>6021.7800000000007</v>
      </c>
      <c r="H29" s="1" t="s">
        <v>103</v>
      </c>
      <c r="I29" s="1" t="s">
        <v>104</v>
      </c>
    </row>
    <row r="30" spans="1:9" x14ac:dyDescent="0.35">
      <c r="A30" s="3" t="s">
        <v>93</v>
      </c>
      <c r="B30" s="4" t="s">
        <v>94</v>
      </c>
      <c r="C30" s="5">
        <v>5600</v>
      </c>
      <c r="H30" s="1" t="s">
        <v>105</v>
      </c>
      <c r="I30" s="1" t="s">
        <v>106</v>
      </c>
    </row>
    <row r="31" spans="1:9" x14ac:dyDescent="0.35">
      <c r="A31" s="3" t="s">
        <v>265</v>
      </c>
      <c r="B31" s="4" t="s">
        <v>566</v>
      </c>
      <c r="C31" s="2">
        <v>5555</v>
      </c>
      <c r="H31" s="1" t="s">
        <v>107</v>
      </c>
      <c r="I31" s="1" t="s">
        <v>108</v>
      </c>
    </row>
    <row r="32" spans="1:9" x14ac:dyDescent="0.35">
      <c r="A32" s="3" t="s">
        <v>291</v>
      </c>
      <c r="B32" s="4" t="s">
        <v>292</v>
      </c>
      <c r="C32" s="5">
        <v>5390</v>
      </c>
      <c r="H32" s="1" t="s">
        <v>109</v>
      </c>
      <c r="I32" s="1" t="s">
        <v>110</v>
      </c>
    </row>
    <row r="33" spans="1:9" x14ac:dyDescent="0.35">
      <c r="A33" s="3" t="s">
        <v>13</v>
      </c>
      <c r="B33" s="4" t="s">
        <v>567</v>
      </c>
      <c r="C33" s="2">
        <v>5361.19</v>
      </c>
      <c r="H33" s="1" t="s">
        <v>111</v>
      </c>
      <c r="I33" s="1" t="s">
        <v>112</v>
      </c>
    </row>
    <row r="34" spans="1:9" x14ac:dyDescent="0.35">
      <c r="A34" s="3" t="s">
        <v>97</v>
      </c>
      <c r="B34" s="4" t="s">
        <v>98</v>
      </c>
      <c r="C34" s="2">
        <v>5308.66</v>
      </c>
      <c r="H34" s="1" t="s">
        <v>113</v>
      </c>
      <c r="I34" s="1" t="s">
        <v>114</v>
      </c>
    </row>
    <row r="35" spans="1:9" x14ac:dyDescent="0.35">
      <c r="A35" s="3" t="s">
        <v>206</v>
      </c>
      <c r="B35" s="4" t="s">
        <v>207</v>
      </c>
      <c r="C35" s="2">
        <v>5035.97</v>
      </c>
      <c r="H35" s="1" t="s">
        <v>118</v>
      </c>
      <c r="I35" s="1" t="s">
        <v>119</v>
      </c>
    </row>
    <row r="36" spans="1:9" x14ac:dyDescent="0.35">
      <c r="A36" s="3" t="s">
        <v>69</v>
      </c>
      <c r="B36" s="4" t="s">
        <v>70</v>
      </c>
      <c r="C36" s="2">
        <v>4964.1299999999983</v>
      </c>
      <c r="H36" s="1" t="s">
        <v>120</v>
      </c>
      <c r="I36" s="1" t="s">
        <v>121</v>
      </c>
    </row>
    <row r="37" spans="1:9" x14ac:dyDescent="0.35">
      <c r="A37" s="3" t="s">
        <v>115</v>
      </c>
      <c r="B37" s="4" t="s">
        <v>569</v>
      </c>
      <c r="C37" s="2">
        <v>4027.29</v>
      </c>
      <c r="H37" s="1" t="s">
        <v>122</v>
      </c>
      <c r="I37" s="1" t="s">
        <v>123</v>
      </c>
    </row>
    <row r="38" spans="1:9" x14ac:dyDescent="0.35">
      <c r="A38" s="3" t="s">
        <v>73</v>
      </c>
      <c r="B38" s="4" t="s">
        <v>74</v>
      </c>
      <c r="C38" s="2">
        <v>3815.11</v>
      </c>
      <c r="H38" s="1" t="s">
        <v>124</v>
      </c>
      <c r="I38" s="1" t="s">
        <v>125</v>
      </c>
    </row>
    <row r="39" spans="1:9" x14ac:dyDescent="0.35">
      <c r="A39" s="3" t="s">
        <v>65</v>
      </c>
      <c r="B39" s="4" t="s">
        <v>66</v>
      </c>
      <c r="C39" s="2">
        <v>3651.2999999999997</v>
      </c>
      <c r="H39" s="1" t="s">
        <v>128</v>
      </c>
      <c r="I39" s="1" t="s">
        <v>129</v>
      </c>
    </row>
    <row r="40" spans="1:9" x14ac:dyDescent="0.35">
      <c r="A40" s="3" t="s">
        <v>187</v>
      </c>
      <c r="B40" s="4" t="s">
        <v>188</v>
      </c>
      <c r="C40" s="2">
        <v>3574.3</v>
      </c>
      <c r="H40" s="1" t="s">
        <v>130</v>
      </c>
      <c r="I40" s="1" t="s">
        <v>131</v>
      </c>
    </row>
    <row r="41" spans="1:9" x14ac:dyDescent="0.35">
      <c r="A41" s="3" t="s">
        <v>154</v>
      </c>
      <c r="B41" s="4" t="s">
        <v>574</v>
      </c>
      <c r="C41" s="2">
        <v>3522.15</v>
      </c>
      <c r="H41" s="1" t="s">
        <v>134</v>
      </c>
      <c r="I41" s="1" t="s">
        <v>135</v>
      </c>
    </row>
    <row r="42" spans="1:9" x14ac:dyDescent="0.35">
      <c r="A42" s="3" t="s">
        <v>385</v>
      </c>
      <c r="B42" s="4" t="s">
        <v>575</v>
      </c>
      <c r="C42" s="2">
        <v>3509.59</v>
      </c>
      <c r="H42" s="1" t="s">
        <v>141</v>
      </c>
      <c r="I42" s="1" t="s">
        <v>142</v>
      </c>
    </row>
    <row r="43" spans="1:9" x14ac:dyDescent="0.35">
      <c r="A43" s="3" t="s">
        <v>132</v>
      </c>
      <c r="B43" s="4" t="s">
        <v>133</v>
      </c>
      <c r="C43" s="2">
        <v>3348.0700000000006</v>
      </c>
      <c r="H43" s="1" t="s">
        <v>147</v>
      </c>
      <c r="I43" s="1" t="s">
        <v>148</v>
      </c>
    </row>
    <row r="44" spans="1:9" x14ac:dyDescent="0.35">
      <c r="A44" s="3" t="s">
        <v>338</v>
      </c>
      <c r="B44" s="4" t="s">
        <v>339</v>
      </c>
      <c r="C44" s="2">
        <v>3122.2</v>
      </c>
      <c r="H44" s="1" t="s">
        <v>151</v>
      </c>
      <c r="I44" s="1" t="s">
        <v>152</v>
      </c>
    </row>
    <row r="45" spans="1:9" x14ac:dyDescent="0.35">
      <c r="A45" s="3" t="s">
        <v>336</v>
      </c>
      <c r="B45" s="4" t="s">
        <v>337</v>
      </c>
      <c r="C45" s="5">
        <v>2917.7</v>
      </c>
      <c r="H45" s="1" t="s">
        <v>155</v>
      </c>
      <c r="I45" s="1" t="s">
        <v>156</v>
      </c>
    </row>
    <row r="46" spans="1:9" x14ac:dyDescent="0.35">
      <c r="A46" s="3" t="s">
        <v>75</v>
      </c>
      <c r="B46" s="4" t="s">
        <v>76</v>
      </c>
      <c r="C46" s="2">
        <v>2893.4300000000003</v>
      </c>
      <c r="H46" s="1" t="s">
        <v>163</v>
      </c>
      <c r="I46" s="1" t="s">
        <v>164</v>
      </c>
    </row>
    <row r="47" spans="1:9" x14ac:dyDescent="0.35">
      <c r="A47" s="3" t="s">
        <v>185</v>
      </c>
      <c r="B47" s="4" t="s">
        <v>580</v>
      </c>
      <c r="C47" s="2">
        <v>2862.41</v>
      </c>
      <c r="H47" s="1" t="s">
        <v>172</v>
      </c>
      <c r="I47" s="1" t="s">
        <v>173</v>
      </c>
    </row>
    <row r="48" spans="1:9" x14ac:dyDescent="0.35">
      <c r="A48" s="3" t="s">
        <v>56</v>
      </c>
      <c r="B48" s="4" t="s">
        <v>556</v>
      </c>
      <c r="C48" s="2">
        <v>2768.2700000000004</v>
      </c>
      <c r="H48" s="1" t="s">
        <v>180</v>
      </c>
      <c r="I48" s="1" t="s">
        <v>181</v>
      </c>
    </row>
    <row r="49" spans="1:9" x14ac:dyDescent="0.35">
      <c r="A49" s="3" t="s">
        <v>405</v>
      </c>
      <c r="B49" s="4" t="s">
        <v>406</v>
      </c>
      <c r="C49" s="5">
        <v>2695</v>
      </c>
      <c r="H49" s="1" t="s">
        <v>182</v>
      </c>
      <c r="I49" s="1" t="s">
        <v>183</v>
      </c>
    </row>
    <row r="50" spans="1:9" x14ac:dyDescent="0.35">
      <c r="A50" s="3" t="s">
        <v>230</v>
      </c>
      <c r="B50" s="4" t="s">
        <v>582</v>
      </c>
      <c r="C50" s="2">
        <v>2577.48</v>
      </c>
      <c r="H50" s="1" t="s">
        <v>189</v>
      </c>
      <c r="I50" s="1" t="s">
        <v>190</v>
      </c>
    </row>
    <row r="51" spans="1:9" x14ac:dyDescent="0.35">
      <c r="A51" s="3" t="s">
        <v>270</v>
      </c>
      <c r="B51" s="4" t="s">
        <v>584</v>
      </c>
      <c r="C51" s="2">
        <v>2534.62</v>
      </c>
      <c r="H51" s="1" t="s">
        <v>191</v>
      </c>
      <c r="I51" s="1" t="s">
        <v>192</v>
      </c>
    </row>
    <row r="52" spans="1:9" x14ac:dyDescent="0.35">
      <c r="A52" s="3" t="s">
        <v>2</v>
      </c>
      <c r="B52" s="4" t="s">
        <v>3</v>
      </c>
      <c r="C52" s="2">
        <v>2485.83</v>
      </c>
      <c r="H52" s="1" t="s">
        <v>193</v>
      </c>
      <c r="I52" s="1" t="s">
        <v>194</v>
      </c>
    </row>
    <row r="53" spans="1:9" x14ac:dyDescent="0.35">
      <c r="A53" s="3" t="s">
        <v>283</v>
      </c>
      <c r="B53" s="4" t="s">
        <v>284</v>
      </c>
      <c r="C53" s="2">
        <v>2356.71</v>
      </c>
      <c r="H53" s="1" t="s">
        <v>195</v>
      </c>
      <c r="I53" s="1" t="s">
        <v>196</v>
      </c>
    </row>
    <row r="54" spans="1:9" x14ac:dyDescent="0.35">
      <c r="A54" s="3" t="s">
        <v>89</v>
      </c>
      <c r="B54" s="4" t="s">
        <v>90</v>
      </c>
      <c r="C54" s="2">
        <v>2290.75</v>
      </c>
      <c r="H54" s="1" t="s">
        <v>204</v>
      </c>
      <c r="I54" s="1" t="s">
        <v>205</v>
      </c>
    </row>
    <row r="55" spans="1:9" x14ac:dyDescent="0.35">
      <c r="A55" s="3" t="s">
        <v>271</v>
      </c>
      <c r="B55" s="4" t="s">
        <v>272</v>
      </c>
      <c r="C55" s="2">
        <v>2137.35</v>
      </c>
      <c r="H55" s="1" t="s">
        <v>208</v>
      </c>
      <c r="I55" s="1" t="s">
        <v>209</v>
      </c>
    </row>
    <row r="56" spans="1:9" x14ac:dyDescent="0.35">
      <c r="A56" s="3" t="s">
        <v>126</v>
      </c>
      <c r="B56" s="4" t="s">
        <v>127</v>
      </c>
      <c r="C56" s="2">
        <v>2039.0100000000002</v>
      </c>
      <c r="H56" s="1" t="s">
        <v>210</v>
      </c>
      <c r="I56" s="1" t="s">
        <v>211</v>
      </c>
    </row>
    <row r="57" spans="1:9" x14ac:dyDescent="0.35">
      <c r="A57" s="3" t="s">
        <v>235</v>
      </c>
      <c r="B57" s="4" t="s">
        <v>236</v>
      </c>
      <c r="C57" s="2">
        <v>2019.62</v>
      </c>
      <c r="H57" s="1" t="s">
        <v>212</v>
      </c>
      <c r="I57" s="1" t="s">
        <v>213</v>
      </c>
    </row>
    <row r="58" spans="1:9" x14ac:dyDescent="0.35">
      <c r="A58" s="3" t="s">
        <v>31</v>
      </c>
      <c r="B58" s="4" t="s">
        <v>32</v>
      </c>
      <c r="C58" s="2">
        <v>2011.01</v>
      </c>
      <c r="H58" s="1" t="s">
        <v>214</v>
      </c>
      <c r="I58" s="1" t="s">
        <v>215</v>
      </c>
    </row>
    <row r="59" spans="1:9" x14ac:dyDescent="0.35">
      <c r="A59" s="3" t="s">
        <v>139</v>
      </c>
      <c r="B59" s="4" t="s">
        <v>140</v>
      </c>
      <c r="C59" s="2">
        <v>1992.67</v>
      </c>
      <c r="H59" s="1" t="s">
        <v>216</v>
      </c>
      <c r="I59" s="1" t="s">
        <v>217</v>
      </c>
    </row>
    <row r="60" spans="1:9" x14ac:dyDescent="0.35">
      <c r="A60" s="3" t="s">
        <v>174</v>
      </c>
      <c r="B60" s="4" t="s">
        <v>175</v>
      </c>
      <c r="C60" s="2">
        <v>1951.0500000000002</v>
      </c>
      <c r="H60" s="1" t="s">
        <v>220</v>
      </c>
      <c r="I60" s="1" t="s">
        <v>221</v>
      </c>
    </row>
    <row r="61" spans="1:9" x14ac:dyDescent="0.35">
      <c r="A61" s="3" t="s">
        <v>14</v>
      </c>
      <c r="B61" s="4" t="s">
        <v>592</v>
      </c>
      <c r="C61" s="2">
        <v>1873.73</v>
      </c>
      <c r="H61" s="1" t="s">
        <v>222</v>
      </c>
      <c r="I61" s="1" t="s">
        <v>223</v>
      </c>
    </row>
    <row r="62" spans="1:9" x14ac:dyDescent="0.35">
      <c r="A62" s="3" t="s">
        <v>25</v>
      </c>
      <c r="B62" s="4" t="s">
        <v>26</v>
      </c>
      <c r="C62" s="5">
        <v>1849</v>
      </c>
      <c r="H62" s="1" t="s">
        <v>224</v>
      </c>
      <c r="I62" s="1" t="s">
        <v>225</v>
      </c>
    </row>
    <row r="63" spans="1:9" x14ac:dyDescent="0.35">
      <c r="A63" s="3" t="s">
        <v>319</v>
      </c>
      <c r="B63" s="4" t="s">
        <v>320</v>
      </c>
      <c r="C63" s="2">
        <v>1848.58</v>
      </c>
      <c r="H63" s="1" t="s">
        <v>226</v>
      </c>
      <c r="I63" s="1" t="s">
        <v>227</v>
      </c>
    </row>
    <row r="64" spans="1:9" x14ac:dyDescent="0.35">
      <c r="A64" s="3" t="s">
        <v>161</v>
      </c>
      <c r="B64" s="4" t="s">
        <v>162</v>
      </c>
      <c r="C64" s="5">
        <v>1475</v>
      </c>
      <c r="H64" s="1" t="s">
        <v>228</v>
      </c>
      <c r="I64" s="1" t="s">
        <v>229</v>
      </c>
    </row>
    <row r="65" spans="1:9" x14ac:dyDescent="0.35">
      <c r="A65" s="3" t="s">
        <v>166</v>
      </c>
      <c r="B65" s="4" t="s">
        <v>167</v>
      </c>
      <c r="C65" s="2">
        <v>1464.86</v>
      </c>
      <c r="H65" s="1" t="s">
        <v>231</v>
      </c>
      <c r="I65" s="1" t="s">
        <v>232</v>
      </c>
    </row>
    <row r="66" spans="1:9" x14ac:dyDescent="0.35">
      <c r="A66" s="3" t="s">
        <v>153</v>
      </c>
      <c r="B66" s="4" t="s">
        <v>597</v>
      </c>
      <c r="C66" s="2">
        <v>1451.17</v>
      </c>
      <c r="H66" s="1" t="s">
        <v>237</v>
      </c>
      <c r="I66" s="1" t="s">
        <v>238</v>
      </c>
    </row>
    <row r="67" spans="1:9" x14ac:dyDescent="0.35">
      <c r="A67" s="3" t="s">
        <v>287</v>
      </c>
      <c r="B67" s="4" t="s">
        <v>288</v>
      </c>
      <c r="C67" s="2">
        <v>1431.2800000000002</v>
      </c>
      <c r="H67" s="1" t="s">
        <v>243</v>
      </c>
      <c r="I67" s="1" t="s">
        <v>244</v>
      </c>
    </row>
    <row r="68" spans="1:9" x14ac:dyDescent="0.35">
      <c r="A68" s="3" t="s">
        <v>116</v>
      </c>
      <c r="B68" s="4" t="s">
        <v>117</v>
      </c>
      <c r="C68" s="2">
        <v>1249.0600000000004</v>
      </c>
      <c r="H68" s="1" t="s">
        <v>245</v>
      </c>
      <c r="I68" s="1" t="s">
        <v>246</v>
      </c>
    </row>
    <row r="69" spans="1:9" x14ac:dyDescent="0.35">
      <c r="A69" s="3" t="s">
        <v>329</v>
      </c>
      <c r="B69" s="4" t="s">
        <v>602</v>
      </c>
      <c r="C69" s="2">
        <v>1235.9599999999998</v>
      </c>
      <c r="H69" s="1" t="s">
        <v>247</v>
      </c>
      <c r="I69" s="1" t="s">
        <v>248</v>
      </c>
    </row>
    <row r="70" spans="1:9" x14ac:dyDescent="0.35">
      <c r="A70" s="3" t="s">
        <v>313</v>
      </c>
      <c r="B70" s="4" t="s">
        <v>314</v>
      </c>
      <c r="C70" s="2">
        <v>1152.3999999999999</v>
      </c>
      <c r="H70" s="1" t="s">
        <v>249</v>
      </c>
      <c r="I70" s="1" t="s">
        <v>250</v>
      </c>
    </row>
    <row r="71" spans="1:9" x14ac:dyDescent="0.35">
      <c r="A71" s="3" t="s">
        <v>137</v>
      </c>
      <c r="B71" s="4" t="s">
        <v>138</v>
      </c>
      <c r="C71" s="2">
        <v>1147.81</v>
      </c>
      <c r="H71" s="1" t="s">
        <v>251</v>
      </c>
      <c r="I71" s="1" t="s">
        <v>252</v>
      </c>
    </row>
    <row r="72" spans="1:9" x14ac:dyDescent="0.35">
      <c r="A72" s="3" t="s">
        <v>202</v>
      </c>
      <c r="B72" s="4" t="s">
        <v>203</v>
      </c>
      <c r="C72" s="2">
        <v>1087.6399999999999</v>
      </c>
      <c r="H72" s="1" t="s">
        <v>257</v>
      </c>
      <c r="I72" s="1" t="s">
        <v>258</v>
      </c>
    </row>
    <row r="73" spans="1:9" x14ac:dyDescent="0.35">
      <c r="A73" s="3" t="s">
        <v>429</v>
      </c>
      <c r="B73" s="4" t="s">
        <v>430</v>
      </c>
      <c r="C73" s="2">
        <v>1063.4000000000001</v>
      </c>
      <c r="H73" s="1" t="s">
        <v>261</v>
      </c>
      <c r="I73" s="1" t="s">
        <v>262</v>
      </c>
    </row>
    <row r="74" spans="1:9" x14ac:dyDescent="0.35">
      <c r="A74" s="3" t="s">
        <v>386</v>
      </c>
      <c r="B74" s="4" t="s">
        <v>181</v>
      </c>
      <c r="C74" s="2">
        <v>1058.51</v>
      </c>
      <c r="H74" s="1" t="s">
        <v>263</v>
      </c>
      <c r="I74" s="1" t="s">
        <v>264</v>
      </c>
    </row>
    <row r="75" spans="1:9" x14ac:dyDescent="0.35">
      <c r="A75" s="3" t="s">
        <v>24</v>
      </c>
      <c r="B75" s="4" t="s">
        <v>603</v>
      </c>
      <c r="C75" s="2">
        <v>982.78</v>
      </c>
      <c r="H75" s="1" t="s">
        <v>266</v>
      </c>
      <c r="I75" s="1" t="s">
        <v>267</v>
      </c>
    </row>
    <row r="76" spans="1:9" x14ac:dyDescent="0.35">
      <c r="A76" s="3" t="s">
        <v>170</v>
      </c>
      <c r="B76" s="4" t="s">
        <v>171</v>
      </c>
      <c r="C76" s="2">
        <v>924.22</v>
      </c>
      <c r="H76" s="1" t="s">
        <v>275</v>
      </c>
      <c r="I76" s="1" t="s">
        <v>276</v>
      </c>
    </row>
    <row r="77" spans="1:9" x14ac:dyDescent="0.35">
      <c r="A77" s="3" t="s">
        <v>354</v>
      </c>
      <c r="B77" s="4" t="s">
        <v>181</v>
      </c>
      <c r="C77" s="2">
        <v>846.48</v>
      </c>
      <c r="H77" s="1" t="s">
        <v>277</v>
      </c>
      <c r="I77" s="1" t="s">
        <v>278</v>
      </c>
    </row>
    <row r="78" spans="1:9" x14ac:dyDescent="0.35">
      <c r="A78" s="3" t="s">
        <v>99</v>
      </c>
      <c r="B78" s="4" t="s">
        <v>100</v>
      </c>
      <c r="C78" s="2">
        <v>831.90000000000009</v>
      </c>
      <c r="H78" s="1" t="s">
        <v>279</v>
      </c>
      <c r="I78" s="1" t="s">
        <v>280</v>
      </c>
    </row>
    <row r="79" spans="1:9" x14ac:dyDescent="0.35">
      <c r="A79" s="3" t="s">
        <v>186</v>
      </c>
      <c r="B79" s="4" t="s">
        <v>181</v>
      </c>
      <c r="C79" s="2">
        <v>717.13</v>
      </c>
      <c r="H79" s="1" t="s">
        <v>281</v>
      </c>
      <c r="I79" s="1" t="s">
        <v>282</v>
      </c>
    </row>
    <row r="80" spans="1:9" x14ac:dyDescent="0.35">
      <c r="A80" s="3" t="s">
        <v>379</v>
      </c>
      <c r="B80" s="4" t="s">
        <v>380</v>
      </c>
      <c r="C80" s="2">
        <v>689.81000000000006</v>
      </c>
      <c r="H80" s="1" t="s">
        <v>285</v>
      </c>
      <c r="I80" s="1" t="s">
        <v>286</v>
      </c>
    </row>
    <row r="81" spans="1:9" x14ac:dyDescent="0.35">
      <c r="A81" s="3" t="s">
        <v>178</v>
      </c>
      <c r="B81" s="4" t="s">
        <v>179</v>
      </c>
      <c r="C81" s="2">
        <v>626.94000000000005</v>
      </c>
      <c r="H81" s="1" t="s">
        <v>289</v>
      </c>
      <c r="I81" s="1" t="s">
        <v>290</v>
      </c>
    </row>
    <row r="82" spans="1:9" x14ac:dyDescent="0.35">
      <c r="A82" s="3" t="s">
        <v>95</v>
      </c>
      <c r="B82" s="4" t="s">
        <v>96</v>
      </c>
      <c r="C82" s="2">
        <v>576.76</v>
      </c>
      <c r="H82" s="1" t="s">
        <v>295</v>
      </c>
      <c r="I82" s="1" t="s">
        <v>296</v>
      </c>
    </row>
    <row r="83" spans="1:9" x14ac:dyDescent="0.35">
      <c r="A83" s="3" t="s">
        <v>241</v>
      </c>
      <c r="B83" s="4" t="s">
        <v>242</v>
      </c>
      <c r="C83" s="2">
        <v>567.73</v>
      </c>
      <c r="H83" s="1" t="s">
        <v>299</v>
      </c>
      <c r="I83" s="1" t="s">
        <v>300</v>
      </c>
    </row>
    <row r="84" spans="1:9" x14ac:dyDescent="0.35">
      <c r="A84" s="3" t="s">
        <v>475</v>
      </c>
      <c r="B84" s="4" t="s">
        <v>476</v>
      </c>
      <c r="C84" s="2">
        <v>477.86</v>
      </c>
      <c r="H84" s="1" t="s">
        <v>301</v>
      </c>
      <c r="I84" s="1" t="s">
        <v>302</v>
      </c>
    </row>
    <row r="85" spans="1:9" x14ac:dyDescent="0.35">
      <c r="A85" s="3" t="s">
        <v>59</v>
      </c>
      <c r="B85" s="4" t="s">
        <v>60</v>
      </c>
      <c r="C85" s="2">
        <v>469.06</v>
      </c>
      <c r="H85" s="1" t="s">
        <v>303</v>
      </c>
      <c r="I85" s="1" t="s">
        <v>304</v>
      </c>
    </row>
    <row r="86" spans="1:9" x14ac:dyDescent="0.35">
      <c r="A86" s="3" t="s">
        <v>499</v>
      </c>
      <c r="B86" s="4" t="s">
        <v>500</v>
      </c>
      <c r="C86" s="2">
        <v>449.24</v>
      </c>
      <c r="H86" s="1" t="s">
        <v>305</v>
      </c>
      <c r="I86" s="1" t="s">
        <v>306</v>
      </c>
    </row>
    <row r="87" spans="1:9" x14ac:dyDescent="0.35">
      <c r="A87" s="3" t="s">
        <v>268</v>
      </c>
      <c r="B87" s="4" t="s">
        <v>269</v>
      </c>
      <c r="C87" s="2">
        <v>447.96000000000004</v>
      </c>
      <c r="H87" s="1" t="s">
        <v>307</v>
      </c>
      <c r="I87" s="1" t="s">
        <v>308</v>
      </c>
    </row>
    <row r="88" spans="1:9" x14ac:dyDescent="0.35">
      <c r="A88" s="3" t="s">
        <v>15</v>
      </c>
      <c r="B88" s="4" t="s">
        <v>515</v>
      </c>
      <c r="C88" s="2">
        <v>433.88</v>
      </c>
      <c r="H88" s="1" t="s">
        <v>309</v>
      </c>
      <c r="I88" s="1" t="s">
        <v>310</v>
      </c>
    </row>
    <row r="89" spans="1:9" x14ac:dyDescent="0.35">
      <c r="A89" s="3" t="s">
        <v>293</v>
      </c>
      <c r="B89" s="4" t="s">
        <v>294</v>
      </c>
      <c r="C89" s="2">
        <v>420.5</v>
      </c>
      <c r="H89" s="1" t="s">
        <v>311</v>
      </c>
      <c r="I89" s="1" t="s">
        <v>312</v>
      </c>
    </row>
    <row r="90" spans="1:9" x14ac:dyDescent="0.35">
      <c r="A90" s="3" t="s">
        <v>377</v>
      </c>
      <c r="B90" s="4" t="s">
        <v>378</v>
      </c>
      <c r="C90" s="2">
        <v>416</v>
      </c>
      <c r="H90" s="1" t="s">
        <v>315</v>
      </c>
      <c r="I90" s="1" t="s">
        <v>316</v>
      </c>
    </row>
    <row r="91" spans="1:9" x14ac:dyDescent="0.35">
      <c r="A91" s="3" t="s">
        <v>0</v>
      </c>
      <c r="B91" s="4" t="s">
        <v>1</v>
      </c>
      <c r="C91" s="2">
        <v>373.25</v>
      </c>
      <c r="H91" s="1" t="s">
        <v>317</v>
      </c>
      <c r="I91" s="1" t="s">
        <v>318</v>
      </c>
    </row>
    <row r="92" spans="1:9" x14ac:dyDescent="0.35">
      <c r="A92" s="3" t="s">
        <v>273</v>
      </c>
      <c r="B92" s="4" t="s">
        <v>274</v>
      </c>
      <c r="C92" s="2">
        <v>340.89</v>
      </c>
      <c r="H92" s="1" t="s">
        <v>323</v>
      </c>
      <c r="I92" s="1" t="s">
        <v>324</v>
      </c>
    </row>
    <row r="93" spans="1:9" x14ac:dyDescent="0.35">
      <c r="A93" s="3" t="s">
        <v>201</v>
      </c>
      <c r="B93" s="4" t="s">
        <v>612</v>
      </c>
      <c r="C93" s="2">
        <v>337.62</v>
      </c>
      <c r="H93" s="1" t="s">
        <v>327</v>
      </c>
      <c r="I93" s="1" t="s">
        <v>328</v>
      </c>
    </row>
    <row r="94" spans="1:9" x14ac:dyDescent="0.35">
      <c r="A94" s="3" t="s">
        <v>407</v>
      </c>
      <c r="B94" s="4" t="s">
        <v>408</v>
      </c>
      <c r="C94" s="5">
        <v>307.5</v>
      </c>
      <c r="H94" s="1" t="s">
        <v>330</v>
      </c>
      <c r="I94" s="1" t="s">
        <v>331</v>
      </c>
    </row>
    <row r="95" spans="1:9" x14ac:dyDescent="0.35">
      <c r="A95" s="3" t="s">
        <v>439</v>
      </c>
      <c r="B95" s="4" t="s">
        <v>440</v>
      </c>
      <c r="C95" s="2">
        <v>223.19</v>
      </c>
      <c r="H95" s="1" t="s">
        <v>332</v>
      </c>
      <c r="I95" s="1" t="s">
        <v>333</v>
      </c>
    </row>
    <row r="96" spans="1:9" x14ac:dyDescent="0.35">
      <c r="A96" s="3" t="s">
        <v>136</v>
      </c>
      <c r="B96" s="4" t="s">
        <v>616</v>
      </c>
      <c r="C96" s="2">
        <v>192</v>
      </c>
      <c r="H96" s="1" t="s">
        <v>334</v>
      </c>
      <c r="I96" s="1" t="s">
        <v>335</v>
      </c>
    </row>
    <row r="97" spans="1:9" x14ac:dyDescent="0.35">
      <c r="A97" s="3" t="s">
        <v>149</v>
      </c>
      <c r="B97" s="4" t="s">
        <v>150</v>
      </c>
      <c r="C97" s="5">
        <v>148</v>
      </c>
      <c r="H97" s="1" t="s">
        <v>340</v>
      </c>
      <c r="I97" s="1" t="s">
        <v>341</v>
      </c>
    </row>
    <row r="98" spans="1:9" x14ac:dyDescent="0.35">
      <c r="A98" s="3" t="s">
        <v>239</v>
      </c>
      <c r="B98" s="4" t="s">
        <v>240</v>
      </c>
      <c r="C98" s="2">
        <v>138.19999999999999</v>
      </c>
      <c r="H98" s="1" t="s">
        <v>342</v>
      </c>
      <c r="I98" s="1" t="s">
        <v>343</v>
      </c>
    </row>
    <row r="99" spans="1:9" x14ac:dyDescent="0.35">
      <c r="A99" s="3" t="s">
        <v>321</v>
      </c>
      <c r="B99" s="4" t="s">
        <v>322</v>
      </c>
      <c r="C99" s="2">
        <v>134.82</v>
      </c>
      <c r="H99" s="1" t="s">
        <v>344</v>
      </c>
      <c r="I99" s="1" t="s">
        <v>345</v>
      </c>
    </row>
    <row r="100" spans="1:9" x14ac:dyDescent="0.35">
      <c r="A100" s="3" t="s">
        <v>427</v>
      </c>
      <c r="B100" s="4" t="s">
        <v>428</v>
      </c>
      <c r="C100" s="2">
        <v>128.63</v>
      </c>
      <c r="H100" s="1" t="s">
        <v>348</v>
      </c>
      <c r="I100" s="1" t="s">
        <v>349</v>
      </c>
    </row>
    <row r="101" spans="1:9" x14ac:dyDescent="0.35">
      <c r="A101" s="3" t="s">
        <v>159</v>
      </c>
      <c r="B101" s="4" t="s">
        <v>160</v>
      </c>
      <c r="C101" s="2">
        <v>94.32</v>
      </c>
      <c r="H101" s="1" t="s">
        <v>352</v>
      </c>
      <c r="I101" s="1" t="s">
        <v>353</v>
      </c>
    </row>
    <row r="102" spans="1:9" x14ac:dyDescent="0.35">
      <c r="A102" s="3" t="s">
        <v>81</v>
      </c>
      <c r="B102" s="4" t="s">
        <v>82</v>
      </c>
      <c r="C102" s="2">
        <v>91</v>
      </c>
      <c r="H102" s="1" t="s">
        <v>355</v>
      </c>
      <c r="I102" s="1" t="s">
        <v>356</v>
      </c>
    </row>
    <row r="103" spans="1:9" x14ac:dyDescent="0.35">
      <c r="A103" s="3" t="s">
        <v>497</v>
      </c>
      <c r="B103" s="4" t="s">
        <v>498</v>
      </c>
      <c r="C103" s="2">
        <v>88.06</v>
      </c>
      <c r="H103" s="1" t="s">
        <v>357</v>
      </c>
      <c r="I103" s="1" t="s">
        <v>358</v>
      </c>
    </row>
    <row r="104" spans="1:9" x14ac:dyDescent="0.35">
      <c r="A104" s="3" t="s">
        <v>157</v>
      </c>
      <c r="B104" s="4" t="s">
        <v>158</v>
      </c>
      <c r="C104" s="2">
        <v>87.25</v>
      </c>
      <c r="H104" s="1" t="s">
        <v>359</v>
      </c>
      <c r="I104" s="1" t="s">
        <v>360</v>
      </c>
    </row>
    <row r="105" spans="1:9" x14ac:dyDescent="0.35">
      <c r="A105" s="3" t="s">
        <v>197</v>
      </c>
      <c r="B105" s="4" t="s">
        <v>198</v>
      </c>
      <c r="C105" s="2">
        <v>64.680000000000064</v>
      </c>
      <c r="H105" s="1" t="s">
        <v>361</v>
      </c>
      <c r="I105" s="1" t="s">
        <v>362</v>
      </c>
    </row>
    <row r="106" spans="1:9" x14ac:dyDescent="0.35">
      <c r="A106" s="3" t="s">
        <v>255</v>
      </c>
      <c r="B106" s="4" t="s">
        <v>256</v>
      </c>
      <c r="C106" s="2">
        <v>56.679999999999993</v>
      </c>
      <c r="H106" s="1" t="s">
        <v>365</v>
      </c>
      <c r="I106" s="1" t="s">
        <v>366</v>
      </c>
    </row>
    <row r="107" spans="1:9" x14ac:dyDescent="0.35">
      <c r="A107" s="3" t="s">
        <v>259</v>
      </c>
      <c r="B107" s="4" t="s">
        <v>260</v>
      </c>
      <c r="C107" s="5">
        <v>37.67</v>
      </c>
      <c r="H107" s="1" t="s">
        <v>371</v>
      </c>
      <c r="I107" s="1" t="s">
        <v>372</v>
      </c>
    </row>
    <row r="108" spans="1:9" x14ac:dyDescent="0.35">
      <c r="A108" s="3" t="s">
        <v>46</v>
      </c>
      <c r="B108" s="4" t="s">
        <v>47</v>
      </c>
      <c r="C108" s="2">
        <v>34.08</v>
      </c>
      <c r="H108" s="1" t="s">
        <v>373</v>
      </c>
      <c r="I108" s="1" t="s">
        <v>374</v>
      </c>
    </row>
    <row r="109" spans="1:9" x14ac:dyDescent="0.35">
      <c r="A109" s="3" t="s">
        <v>39</v>
      </c>
      <c r="B109" s="4" t="s">
        <v>621</v>
      </c>
      <c r="C109" s="5">
        <v>25</v>
      </c>
      <c r="H109" s="1" t="s">
        <v>375</v>
      </c>
      <c r="I109" s="1" t="s">
        <v>376</v>
      </c>
    </row>
    <row r="110" spans="1:9" x14ac:dyDescent="0.35">
      <c r="A110" s="3" t="s">
        <v>61</v>
      </c>
      <c r="B110" s="4" t="s">
        <v>62</v>
      </c>
      <c r="C110" s="2">
        <v>0</v>
      </c>
      <c r="H110" s="1" t="s">
        <v>381</v>
      </c>
      <c r="I110" s="1" t="s">
        <v>382</v>
      </c>
    </row>
    <row r="111" spans="1:9" x14ac:dyDescent="0.35">
      <c r="H111" s="1" t="s">
        <v>383</v>
      </c>
      <c r="I111" s="1" t="s">
        <v>384</v>
      </c>
    </row>
    <row r="112" spans="1:9" x14ac:dyDescent="0.35">
      <c r="H112" s="1" t="s">
        <v>389</v>
      </c>
      <c r="I112" s="1" t="s">
        <v>390</v>
      </c>
    </row>
    <row r="113" spans="8:9" x14ac:dyDescent="0.35">
      <c r="H113" s="1" t="s">
        <v>391</v>
      </c>
      <c r="I113" s="1" t="s">
        <v>392</v>
      </c>
    </row>
    <row r="114" spans="8:9" x14ac:dyDescent="0.35">
      <c r="H114" s="1" t="s">
        <v>393</v>
      </c>
      <c r="I114" s="1" t="s">
        <v>394</v>
      </c>
    </row>
    <row r="115" spans="8:9" x14ac:dyDescent="0.35">
      <c r="H115" s="1" t="s">
        <v>395</v>
      </c>
      <c r="I115" s="1" t="s">
        <v>396</v>
      </c>
    </row>
    <row r="116" spans="8:9" x14ac:dyDescent="0.35">
      <c r="H116" s="1" t="s">
        <v>397</v>
      </c>
      <c r="I116" s="1" t="s">
        <v>398</v>
      </c>
    </row>
    <row r="117" spans="8:9" x14ac:dyDescent="0.35">
      <c r="H117" s="1" t="s">
        <v>399</v>
      </c>
      <c r="I117" s="1" t="s">
        <v>400</v>
      </c>
    </row>
    <row r="118" spans="8:9" x14ac:dyDescent="0.35">
      <c r="H118" s="1" t="s">
        <v>403</v>
      </c>
      <c r="I118" s="1" t="s">
        <v>404</v>
      </c>
    </row>
    <row r="119" spans="8:9" x14ac:dyDescent="0.35">
      <c r="H119" s="1" t="s">
        <v>409</v>
      </c>
      <c r="I119" s="1" t="s">
        <v>410</v>
      </c>
    </row>
    <row r="120" spans="8:9" x14ac:dyDescent="0.35">
      <c r="H120" s="1" t="s">
        <v>411</v>
      </c>
      <c r="I120" s="1" t="s">
        <v>412</v>
      </c>
    </row>
    <row r="121" spans="8:9" x14ac:dyDescent="0.35">
      <c r="H121" s="1" t="s">
        <v>413</v>
      </c>
      <c r="I121" s="1" t="s">
        <v>414</v>
      </c>
    </row>
    <row r="122" spans="8:9" x14ac:dyDescent="0.35">
      <c r="H122" s="1" t="s">
        <v>415</v>
      </c>
      <c r="I122" s="1" t="s">
        <v>416</v>
      </c>
    </row>
    <row r="123" spans="8:9" x14ac:dyDescent="0.35">
      <c r="H123" s="1" t="s">
        <v>417</v>
      </c>
      <c r="I123" s="1" t="s">
        <v>418</v>
      </c>
    </row>
    <row r="124" spans="8:9" x14ac:dyDescent="0.35">
      <c r="H124" s="1" t="s">
        <v>419</v>
      </c>
      <c r="I124" s="1" t="s">
        <v>420</v>
      </c>
    </row>
    <row r="125" spans="8:9" x14ac:dyDescent="0.35">
      <c r="H125" s="1" t="s">
        <v>421</v>
      </c>
      <c r="I125" s="1" t="s">
        <v>422</v>
      </c>
    </row>
    <row r="126" spans="8:9" x14ac:dyDescent="0.35">
      <c r="H126" s="1" t="s">
        <v>423</v>
      </c>
      <c r="I126" s="1" t="s">
        <v>424</v>
      </c>
    </row>
    <row r="127" spans="8:9" x14ac:dyDescent="0.35">
      <c r="H127" s="1" t="s">
        <v>425</v>
      </c>
      <c r="I127" s="1" t="s">
        <v>426</v>
      </c>
    </row>
    <row r="128" spans="8:9" x14ac:dyDescent="0.35">
      <c r="H128" s="1" t="s">
        <v>431</v>
      </c>
      <c r="I128" s="1" t="s">
        <v>432</v>
      </c>
    </row>
    <row r="129" spans="8:9" x14ac:dyDescent="0.35">
      <c r="H129" s="1" t="s">
        <v>433</v>
      </c>
      <c r="I129" s="1" t="s">
        <v>434</v>
      </c>
    </row>
    <row r="130" spans="8:9" x14ac:dyDescent="0.35">
      <c r="H130" s="1" t="s">
        <v>435</v>
      </c>
      <c r="I130" s="1" t="s">
        <v>436</v>
      </c>
    </row>
    <row r="131" spans="8:9" x14ac:dyDescent="0.35">
      <c r="H131" s="1" t="s">
        <v>437</v>
      </c>
      <c r="I131" s="1" t="s">
        <v>438</v>
      </c>
    </row>
    <row r="132" spans="8:9" x14ac:dyDescent="0.35">
      <c r="H132" s="1" t="s">
        <v>441</v>
      </c>
      <c r="I132" s="1" t="s">
        <v>442</v>
      </c>
    </row>
    <row r="133" spans="8:9" x14ac:dyDescent="0.35">
      <c r="H133" s="1" t="s">
        <v>443</v>
      </c>
      <c r="I133" s="1" t="s">
        <v>444</v>
      </c>
    </row>
    <row r="134" spans="8:9" x14ac:dyDescent="0.35">
      <c r="H134" s="1" t="s">
        <v>445</v>
      </c>
      <c r="I134" s="1" t="s">
        <v>446</v>
      </c>
    </row>
    <row r="135" spans="8:9" x14ac:dyDescent="0.35">
      <c r="H135" s="1" t="s">
        <v>447</v>
      </c>
      <c r="I135" s="1" t="s">
        <v>448</v>
      </c>
    </row>
    <row r="136" spans="8:9" x14ac:dyDescent="0.35">
      <c r="H136" s="1" t="s">
        <v>449</v>
      </c>
      <c r="I136" s="1" t="s">
        <v>450</v>
      </c>
    </row>
    <row r="137" spans="8:9" x14ac:dyDescent="0.35">
      <c r="H137" s="1" t="s">
        <v>451</v>
      </c>
      <c r="I137" s="1" t="s">
        <v>452</v>
      </c>
    </row>
    <row r="138" spans="8:9" x14ac:dyDescent="0.35">
      <c r="H138" s="1" t="s">
        <v>453</v>
      </c>
      <c r="I138" s="1" t="s">
        <v>454</v>
      </c>
    </row>
    <row r="139" spans="8:9" x14ac:dyDescent="0.35">
      <c r="H139" s="1" t="s">
        <v>455</v>
      </c>
      <c r="I139" s="1" t="s">
        <v>456</v>
      </c>
    </row>
    <row r="140" spans="8:9" x14ac:dyDescent="0.35">
      <c r="H140" s="1" t="s">
        <v>457</v>
      </c>
      <c r="I140" s="1" t="s">
        <v>458</v>
      </c>
    </row>
    <row r="141" spans="8:9" x14ac:dyDescent="0.35">
      <c r="H141" s="1" t="s">
        <v>459</v>
      </c>
      <c r="I141" s="1" t="s">
        <v>460</v>
      </c>
    </row>
    <row r="142" spans="8:9" x14ac:dyDescent="0.35">
      <c r="H142" s="1" t="s">
        <v>461</v>
      </c>
      <c r="I142" s="1" t="s">
        <v>462</v>
      </c>
    </row>
    <row r="143" spans="8:9" x14ac:dyDescent="0.35">
      <c r="H143" s="1" t="s">
        <v>463</v>
      </c>
      <c r="I143" s="1" t="s">
        <v>464</v>
      </c>
    </row>
    <row r="144" spans="8:9" x14ac:dyDescent="0.35">
      <c r="H144" s="1" t="s">
        <v>465</v>
      </c>
      <c r="I144" s="1" t="s">
        <v>466</v>
      </c>
    </row>
    <row r="145" spans="8:9" x14ac:dyDescent="0.35">
      <c r="H145" s="1" t="s">
        <v>467</v>
      </c>
      <c r="I145" s="1" t="s">
        <v>468</v>
      </c>
    </row>
    <row r="146" spans="8:9" x14ac:dyDescent="0.35">
      <c r="H146" s="1" t="s">
        <v>469</v>
      </c>
      <c r="I146" s="1" t="s">
        <v>470</v>
      </c>
    </row>
    <row r="147" spans="8:9" x14ac:dyDescent="0.35">
      <c r="H147" s="1" t="s">
        <v>471</v>
      </c>
      <c r="I147" s="1" t="s">
        <v>472</v>
      </c>
    </row>
    <row r="148" spans="8:9" x14ac:dyDescent="0.35">
      <c r="H148" s="1" t="s">
        <v>477</v>
      </c>
      <c r="I148" s="1" t="s">
        <v>478</v>
      </c>
    </row>
    <row r="149" spans="8:9" x14ac:dyDescent="0.35">
      <c r="H149" s="1" t="s">
        <v>479</v>
      </c>
      <c r="I149" s="1" t="s">
        <v>480</v>
      </c>
    </row>
    <row r="150" spans="8:9" x14ac:dyDescent="0.35">
      <c r="H150" s="1" t="s">
        <v>481</v>
      </c>
      <c r="I150" s="1" t="s">
        <v>482</v>
      </c>
    </row>
    <row r="151" spans="8:9" x14ac:dyDescent="0.35">
      <c r="H151" s="1" t="s">
        <v>483</v>
      </c>
      <c r="I151" s="1" t="s">
        <v>484</v>
      </c>
    </row>
    <row r="152" spans="8:9" x14ac:dyDescent="0.35">
      <c r="H152" s="1" t="s">
        <v>485</v>
      </c>
      <c r="I152" s="1" t="s">
        <v>486</v>
      </c>
    </row>
    <row r="153" spans="8:9" x14ac:dyDescent="0.35">
      <c r="H153" s="1" t="s">
        <v>487</v>
      </c>
      <c r="I153" s="1" t="s">
        <v>488</v>
      </c>
    </row>
    <row r="154" spans="8:9" x14ac:dyDescent="0.35">
      <c r="H154" s="1" t="s">
        <v>489</v>
      </c>
      <c r="I154" s="1" t="s">
        <v>490</v>
      </c>
    </row>
    <row r="155" spans="8:9" x14ac:dyDescent="0.35">
      <c r="H155" s="1" t="s">
        <v>491</v>
      </c>
      <c r="I155" s="1" t="s">
        <v>492</v>
      </c>
    </row>
    <row r="156" spans="8:9" x14ac:dyDescent="0.35">
      <c r="H156" s="1" t="s">
        <v>493</v>
      </c>
      <c r="I156" s="1" t="s">
        <v>494</v>
      </c>
    </row>
    <row r="157" spans="8:9" x14ac:dyDescent="0.35">
      <c r="H157" s="1" t="s">
        <v>495</v>
      </c>
      <c r="I157" s="1" t="s">
        <v>496</v>
      </c>
    </row>
    <row r="158" spans="8:9" x14ac:dyDescent="0.35">
      <c r="H158" s="1" t="s">
        <v>503</v>
      </c>
      <c r="I158" s="1" t="s">
        <v>504</v>
      </c>
    </row>
    <row r="159" spans="8:9" x14ac:dyDescent="0.35">
      <c r="H159" s="1" t="s">
        <v>505</v>
      </c>
      <c r="I159" s="1" t="s">
        <v>506</v>
      </c>
    </row>
    <row r="160" spans="8:9" x14ac:dyDescent="0.35">
      <c r="H160" s="1" t="s">
        <v>507</v>
      </c>
      <c r="I160" s="1" t="s">
        <v>508</v>
      </c>
    </row>
    <row r="161" spans="8:9" x14ac:dyDescent="0.35">
      <c r="H161" s="1" t="s">
        <v>509</v>
      </c>
      <c r="I161" s="1" t="s">
        <v>510</v>
      </c>
    </row>
  </sheetData>
  <mergeCells count="2">
    <mergeCell ref="H1:I1"/>
    <mergeCell ref="A1:B1"/>
  </mergeCells>
  <conditionalFormatting sqref="A3:A110">
    <cfRule type="duplicateValues" dxfId="4" priority="2"/>
    <cfRule type="duplicateValues" dxfId="3" priority="3"/>
  </conditionalFormatting>
  <conditionalFormatting sqref="H3:H161 H270:H1048576 A1:A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A102-F37D-4C43-9073-AF50E320995B}">
  <dimension ref="A1:J157"/>
  <sheetViews>
    <sheetView workbookViewId="0">
      <selection activeCell="F12" sqref="F12"/>
    </sheetView>
  </sheetViews>
  <sheetFormatPr defaultRowHeight="14.5" x14ac:dyDescent="0.35"/>
  <cols>
    <col min="2" max="2" width="45.26953125" bestFit="1" customWidth="1"/>
    <col min="3" max="3" width="11.7265625" bestFit="1" customWidth="1"/>
    <col min="5" max="5" width="23.1796875" bestFit="1" customWidth="1"/>
    <col min="6" max="6" width="14.26953125" bestFit="1" customWidth="1"/>
    <col min="10" max="10" width="59.7265625" bestFit="1" customWidth="1"/>
  </cols>
  <sheetData>
    <row r="1" spans="1:10" x14ac:dyDescent="0.35">
      <c r="A1" s="11" t="s">
        <v>955</v>
      </c>
      <c r="B1" s="11"/>
      <c r="I1" s="11" t="s">
        <v>956</v>
      </c>
      <c r="J1" s="11"/>
    </row>
    <row r="2" spans="1:10" x14ac:dyDescent="0.35">
      <c r="A2" t="s">
        <v>950</v>
      </c>
      <c r="B2" t="s">
        <v>512</v>
      </c>
      <c r="C2" t="s">
        <v>513</v>
      </c>
      <c r="I2" t="s">
        <v>950</v>
      </c>
      <c r="J2" t="s">
        <v>512</v>
      </c>
    </row>
    <row r="3" spans="1:10" x14ac:dyDescent="0.35">
      <c r="A3" s="6">
        <v>2011962</v>
      </c>
      <c r="B3" s="7" t="s">
        <v>531</v>
      </c>
      <c r="C3" s="8">
        <v>496576.15</v>
      </c>
      <c r="E3" t="s">
        <v>624</v>
      </c>
      <c r="F3" s="2">
        <f>AVERAGE(C:C)</f>
        <v>21660.573333333323</v>
      </c>
      <c r="I3" s="4" t="s">
        <v>696</v>
      </c>
      <c r="J3" s="4" t="s">
        <v>697</v>
      </c>
    </row>
    <row r="4" spans="1:10" x14ac:dyDescent="0.35">
      <c r="A4" s="6">
        <v>2012144</v>
      </c>
      <c r="B4" s="7" t="s">
        <v>520</v>
      </c>
      <c r="C4" s="8">
        <v>279706.40999999997</v>
      </c>
      <c r="E4" t="s">
        <v>957</v>
      </c>
      <c r="F4" s="2">
        <f>F3-F3*0.16</f>
        <v>18194.88159999999</v>
      </c>
      <c r="I4" s="4" t="s">
        <v>698</v>
      </c>
      <c r="J4" s="4" t="s">
        <v>699</v>
      </c>
    </row>
    <row r="5" spans="1:10" x14ac:dyDescent="0.35">
      <c r="A5" s="6">
        <v>2011991</v>
      </c>
      <c r="B5" s="7" t="s">
        <v>625</v>
      </c>
      <c r="C5" s="8">
        <v>254100.98</v>
      </c>
      <c r="I5" s="4" t="s">
        <v>700</v>
      </c>
      <c r="J5" s="4" t="s">
        <v>701</v>
      </c>
    </row>
    <row r="6" spans="1:10" x14ac:dyDescent="0.35">
      <c r="A6" s="6">
        <v>2012192</v>
      </c>
      <c r="B6" s="7" t="s">
        <v>583</v>
      </c>
      <c r="C6" s="8">
        <v>165685</v>
      </c>
      <c r="E6" t="s">
        <v>694</v>
      </c>
      <c r="F6">
        <v>260</v>
      </c>
      <c r="I6" s="4" t="s">
        <v>702</v>
      </c>
      <c r="J6" s="4" t="s">
        <v>703</v>
      </c>
    </row>
    <row r="7" spans="1:10" x14ac:dyDescent="0.35">
      <c r="A7" s="6">
        <v>2012049</v>
      </c>
      <c r="B7" s="7" t="s">
        <v>537</v>
      </c>
      <c r="C7" s="8">
        <v>155762.54999999999</v>
      </c>
      <c r="E7" t="s">
        <v>695</v>
      </c>
      <c r="F7">
        <v>107</v>
      </c>
      <c r="I7" s="4" t="s">
        <v>704</v>
      </c>
      <c r="J7" s="4" t="s">
        <v>705</v>
      </c>
    </row>
    <row r="8" spans="1:10" x14ac:dyDescent="0.35">
      <c r="A8" s="6">
        <v>2011985</v>
      </c>
      <c r="B8" s="7" t="s">
        <v>525</v>
      </c>
      <c r="C8" s="8">
        <v>123000</v>
      </c>
      <c r="I8" s="4" t="s">
        <v>706</v>
      </c>
      <c r="J8" s="4" t="s">
        <v>707</v>
      </c>
    </row>
    <row r="9" spans="1:10" x14ac:dyDescent="0.35">
      <c r="A9" s="6">
        <v>2011982</v>
      </c>
      <c r="B9" s="7" t="s">
        <v>627</v>
      </c>
      <c r="C9" s="8">
        <v>107068.45</v>
      </c>
      <c r="E9" t="s">
        <v>951</v>
      </c>
      <c r="F9" s="10">
        <f>F7/F6</f>
        <v>0.41153846153846152</v>
      </c>
      <c r="I9" s="4" t="s">
        <v>708</v>
      </c>
      <c r="J9" s="4" t="s">
        <v>709</v>
      </c>
    </row>
    <row r="10" spans="1:10" x14ac:dyDescent="0.35">
      <c r="A10" s="6">
        <v>2012063</v>
      </c>
      <c r="B10" s="7" t="s">
        <v>527</v>
      </c>
      <c r="C10" s="8">
        <v>42362.86</v>
      </c>
      <c r="I10" s="4" t="s">
        <v>710</v>
      </c>
      <c r="J10" s="4" t="s">
        <v>711</v>
      </c>
    </row>
    <row r="11" spans="1:10" x14ac:dyDescent="0.35">
      <c r="A11" s="6">
        <v>2012090</v>
      </c>
      <c r="B11" s="7" t="s">
        <v>628</v>
      </c>
      <c r="C11" s="8">
        <v>39413.42</v>
      </c>
      <c r="E11" t="s">
        <v>952</v>
      </c>
      <c r="F11" s="2">
        <f>SUM(C:C)</f>
        <v>2209378.4799999991</v>
      </c>
      <c r="I11" s="4" t="s">
        <v>712</v>
      </c>
      <c r="J11" s="4" t="s">
        <v>713</v>
      </c>
    </row>
    <row r="12" spans="1:10" x14ac:dyDescent="0.35">
      <c r="A12" s="6">
        <v>2011959</v>
      </c>
      <c r="B12" s="7" t="s">
        <v>629</v>
      </c>
      <c r="C12" s="8">
        <v>33794.47</v>
      </c>
      <c r="I12" s="4" t="s">
        <v>714</v>
      </c>
      <c r="J12" s="4" t="s">
        <v>715</v>
      </c>
    </row>
    <row r="13" spans="1:10" x14ac:dyDescent="0.35">
      <c r="A13" s="6">
        <v>2011992</v>
      </c>
      <c r="B13" s="7" t="s">
        <v>630</v>
      </c>
      <c r="C13" s="8">
        <v>33757.97</v>
      </c>
      <c r="I13" s="4" t="s">
        <v>716</v>
      </c>
      <c r="J13" s="4" t="s">
        <v>717</v>
      </c>
    </row>
    <row r="14" spans="1:10" x14ac:dyDescent="0.35">
      <c r="A14" s="6">
        <v>2012080</v>
      </c>
      <c r="B14" s="7" t="s">
        <v>631</v>
      </c>
      <c r="C14" s="8">
        <v>33695.99</v>
      </c>
      <c r="I14" s="4" t="s">
        <v>718</v>
      </c>
      <c r="J14" s="4" t="s">
        <v>719</v>
      </c>
    </row>
    <row r="15" spans="1:10" x14ac:dyDescent="0.35">
      <c r="A15" s="6">
        <v>2012068</v>
      </c>
      <c r="B15" s="7" t="s">
        <v>581</v>
      </c>
      <c r="C15" s="8">
        <v>27467.74</v>
      </c>
      <c r="I15" s="4" t="s">
        <v>720</v>
      </c>
      <c r="J15" s="4" t="s">
        <v>721</v>
      </c>
    </row>
    <row r="16" spans="1:10" x14ac:dyDescent="0.35">
      <c r="A16" s="6">
        <v>2012135</v>
      </c>
      <c r="B16" s="7" t="s">
        <v>632</v>
      </c>
      <c r="C16" s="8">
        <v>26568.76</v>
      </c>
      <c r="I16" s="4" t="s">
        <v>722</v>
      </c>
      <c r="J16" s="4" t="s">
        <v>723</v>
      </c>
    </row>
    <row r="17" spans="1:10" x14ac:dyDescent="0.35">
      <c r="A17" s="6">
        <v>2012013</v>
      </c>
      <c r="B17" s="7" t="s">
        <v>626</v>
      </c>
      <c r="C17" s="8">
        <v>25084.31</v>
      </c>
      <c r="I17" s="4" t="s">
        <v>724</v>
      </c>
      <c r="J17" s="4" t="s">
        <v>725</v>
      </c>
    </row>
    <row r="18" spans="1:10" x14ac:dyDescent="0.35">
      <c r="A18" s="6">
        <v>2012057</v>
      </c>
      <c r="B18" s="7" t="s">
        <v>530</v>
      </c>
      <c r="C18" s="8">
        <v>20387.259999999998</v>
      </c>
      <c r="I18" s="4" t="s">
        <v>726</v>
      </c>
      <c r="J18" s="4" t="s">
        <v>727</v>
      </c>
    </row>
    <row r="19" spans="1:10" x14ac:dyDescent="0.35">
      <c r="A19" s="6">
        <v>2011973</v>
      </c>
      <c r="B19" s="7" t="s">
        <v>633</v>
      </c>
      <c r="C19" s="8">
        <v>18991.560000000001</v>
      </c>
      <c r="I19" s="4" t="s">
        <v>728</v>
      </c>
      <c r="J19" s="4" t="s">
        <v>729</v>
      </c>
    </row>
    <row r="20" spans="1:10" x14ac:dyDescent="0.35">
      <c r="A20" s="6">
        <v>2012072</v>
      </c>
      <c r="B20" s="7" t="s">
        <v>634</v>
      </c>
      <c r="C20" s="8">
        <v>18137.05</v>
      </c>
      <c r="I20" s="4" t="s">
        <v>589</v>
      </c>
      <c r="J20" s="4" t="s">
        <v>730</v>
      </c>
    </row>
    <row r="21" spans="1:10" x14ac:dyDescent="0.35">
      <c r="A21" s="6">
        <v>2012050</v>
      </c>
      <c r="B21" s="7" t="s">
        <v>635</v>
      </c>
      <c r="C21" s="8">
        <v>16623.849999999999</v>
      </c>
      <c r="I21" s="4" t="s">
        <v>731</v>
      </c>
      <c r="J21" s="4" t="s">
        <v>732</v>
      </c>
    </row>
    <row r="22" spans="1:10" x14ac:dyDescent="0.35">
      <c r="A22" s="6">
        <v>2012000</v>
      </c>
      <c r="B22" s="7" t="s">
        <v>588</v>
      </c>
      <c r="C22" s="8">
        <v>15570.4</v>
      </c>
      <c r="I22" s="4" t="s">
        <v>733</v>
      </c>
      <c r="J22" s="4" t="s">
        <v>734</v>
      </c>
    </row>
    <row r="23" spans="1:10" x14ac:dyDescent="0.35">
      <c r="A23" s="6">
        <v>2012012</v>
      </c>
      <c r="B23" s="7" t="s">
        <v>529</v>
      </c>
      <c r="C23" s="8">
        <v>15505.67</v>
      </c>
      <c r="I23" s="4" t="s">
        <v>735</v>
      </c>
      <c r="J23" s="4" t="s">
        <v>736</v>
      </c>
    </row>
    <row r="24" spans="1:10" x14ac:dyDescent="0.35">
      <c r="A24" s="6">
        <v>2012014</v>
      </c>
      <c r="B24" s="7" t="s">
        <v>636</v>
      </c>
      <c r="C24" s="8">
        <v>14683.95</v>
      </c>
      <c r="I24" s="4" t="s">
        <v>737</v>
      </c>
      <c r="J24" s="4" t="s">
        <v>738</v>
      </c>
    </row>
    <row r="25" spans="1:10" x14ac:dyDescent="0.35">
      <c r="A25" s="6">
        <v>2012019</v>
      </c>
      <c r="B25" s="7" t="s">
        <v>637</v>
      </c>
      <c r="C25" s="8">
        <v>14047.21</v>
      </c>
      <c r="I25" s="4" t="s">
        <v>739</v>
      </c>
      <c r="J25" s="4" t="s">
        <v>740</v>
      </c>
    </row>
    <row r="26" spans="1:10" x14ac:dyDescent="0.35">
      <c r="A26" s="6">
        <v>2012124</v>
      </c>
      <c r="B26" s="7" t="s">
        <v>526</v>
      </c>
      <c r="C26" s="8">
        <v>12714.79</v>
      </c>
      <c r="I26" s="4" t="s">
        <v>741</v>
      </c>
      <c r="J26" s="4" t="s">
        <v>742</v>
      </c>
    </row>
    <row r="27" spans="1:10" x14ac:dyDescent="0.35">
      <c r="A27" s="6">
        <v>2011958</v>
      </c>
      <c r="B27" s="7" t="s">
        <v>638</v>
      </c>
      <c r="C27" s="8">
        <v>11994.96</v>
      </c>
      <c r="I27" s="4" t="s">
        <v>743</v>
      </c>
      <c r="J27" s="4" t="s">
        <v>744</v>
      </c>
    </row>
    <row r="28" spans="1:10" x14ac:dyDescent="0.35">
      <c r="A28" s="6">
        <v>2011984</v>
      </c>
      <c r="B28" s="7" t="s">
        <v>579</v>
      </c>
      <c r="C28" s="8">
        <v>10547.51</v>
      </c>
      <c r="I28" s="4" t="s">
        <v>745</v>
      </c>
      <c r="J28" s="4" t="s">
        <v>746</v>
      </c>
    </row>
    <row r="29" spans="1:10" x14ac:dyDescent="0.35">
      <c r="A29" s="6">
        <v>2012131</v>
      </c>
      <c r="B29" s="7" t="s">
        <v>541</v>
      </c>
      <c r="C29" s="8">
        <v>10196.85</v>
      </c>
      <c r="I29" s="4" t="s">
        <v>747</v>
      </c>
      <c r="J29" s="4" t="s">
        <v>748</v>
      </c>
    </row>
    <row r="30" spans="1:10" x14ac:dyDescent="0.35">
      <c r="A30" s="6">
        <v>2012024</v>
      </c>
      <c r="B30" s="7" t="s">
        <v>639</v>
      </c>
      <c r="C30" s="8">
        <v>9356.33</v>
      </c>
      <c r="I30" s="4" t="s">
        <v>749</v>
      </c>
      <c r="J30" s="4" t="s">
        <v>750</v>
      </c>
    </row>
    <row r="31" spans="1:10" x14ac:dyDescent="0.35">
      <c r="A31" s="6">
        <v>2012021</v>
      </c>
      <c r="B31" s="7" t="s">
        <v>640</v>
      </c>
      <c r="C31" s="8">
        <v>9085.9</v>
      </c>
      <c r="I31" s="4" t="s">
        <v>598</v>
      </c>
      <c r="J31" s="4" t="s">
        <v>599</v>
      </c>
    </row>
    <row r="32" spans="1:10" x14ac:dyDescent="0.35">
      <c r="A32" s="6">
        <v>2012091</v>
      </c>
      <c r="B32" s="7" t="s">
        <v>516</v>
      </c>
      <c r="C32" s="8">
        <v>8865.24</v>
      </c>
      <c r="I32" s="4" t="s">
        <v>751</v>
      </c>
      <c r="J32" s="4" t="s">
        <v>752</v>
      </c>
    </row>
    <row r="33" spans="1:10" x14ac:dyDescent="0.35">
      <c r="A33" s="6">
        <v>2012117</v>
      </c>
      <c r="B33" s="7" t="s">
        <v>619</v>
      </c>
      <c r="C33" s="8">
        <v>8827.52</v>
      </c>
      <c r="I33" s="4" t="s">
        <v>753</v>
      </c>
      <c r="J33" s="4" t="s">
        <v>754</v>
      </c>
    </row>
    <row r="34" spans="1:10" x14ac:dyDescent="0.35">
      <c r="A34" s="6">
        <v>2012020</v>
      </c>
      <c r="B34" s="7" t="s">
        <v>641</v>
      </c>
      <c r="C34" s="8">
        <v>8497.51</v>
      </c>
      <c r="I34" s="4" t="s">
        <v>755</v>
      </c>
      <c r="J34" s="4" t="s">
        <v>756</v>
      </c>
    </row>
    <row r="35" spans="1:10" x14ac:dyDescent="0.35">
      <c r="A35" s="6">
        <v>2011988</v>
      </c>
      <c r="B35" s="7" t="s">
        <v>642</v>
      </c>
      <c r="C35" s="8">
        <v>6984</v>
      </c>
      <c r="I35" s="4" t="s">
        <v>757</v>
      </c>
      <c r="J35" s="4" t="s">
        <v>758</v>
      </c>
    </row>
    <row r="36" spans="1:10" x14ac:dyDescent="0.35">
      <c r="A36" s="6">
        <v>2012191</v>
      </c>
      <c r="B36" s="7" t="s">
        <v>514</v>
      </c>
      <c r="C36" s="8">
        <v>6727.94</v>
      </c>
      <c r="I36" s="4" t="s">
        <v>759</v>
      </c>
      <c r="J36" s="4" t="s">
        <v>760</v>
      </c>
    </row>
    <row r="37" spans="1:10" x14ac:dyDescent="0.35">
      <c r="A37" s="6">
        <v>2012062</v>
      </c>
      <c r="B37" s="7" t="s">
        <v>643</v>
      </c>
      <c r="C37" s="8">
        <v>6624.92</v>
      </c>
      <c r="I37" s="4" t="s">
        <v>761</v>
      </c>
      <c r="J37" s="4" t="s">
        <v>762</v>
      </c>
    </row>
    <row r="38" spans="1:10" x14ac:dyDescent="0.35">
      <c r="A38" s="6">
        <v>2012042</v>
      </c>
      <c r="B38" s="7" t="s">
        <v>644</v>
      </c>
      <c r="C38" s="8">
        <v>6604.43</v>
      </c>
      <c r="I38" s="4" t="s">
        <v>763</v>
      </c>
      <c r="J38" s="4" t="s">
        <v>764</v>
      </c>
    </row>
    <row r="39" spans="1:10" x14ac:dyDescent="0.35">
      <c r="A39" s="6">
        <v>2012023</v>
      </c>
      <c r="B39" s="7" t="s">
        <v>521</v>
      </c>
      <c r="C39" s="8">
        <v>5426.19</v>
      </c>
      <c r="I39" s="4" t="s">
        <v>765</v>
      </c>
      <c r="J39" s="4" t="s">
        <v>766</v>
      </c>
    </row>
    <row r="40" spans="1:10" x14ac:dyDescent="0.35">
      <c r="A40" s="6">
        <v>2012159</v>
      </c>
      <c r="B40" s="7" t="s">
        <v>623</v>
      </c>
      <c r="C40" s="8">
        <v>5131.2700000000004</v>
      </c>
      <c r="I40" s="4" t="s">
        <v>767</v>
      </c>
      <c r="J40" s="4" t="s">
        <v>768</v>
      </c>
    </row>
    <row r="41" spans="1:10" x14ac:dyDescent="0.35">
      <c r="A41" s="6">
        <v>2012035</v>
      </c>
      <c r="B41" s="7" t="s">
        <v>645</v>
      </c>
      <c r="C41" s="8">
        <v>4621.3100000000004</v>
      </c>
      <c r="I41" s="4" t="s">
        <v>769</v>
      </c>
      <c r="J41" s="4" t="s">
        <v>770</v>
      </c>
    </row>
    <row r="42" spans="1:10" x14ac:dyDescent="0.35">
      <c r="A42" s="6">
        <v>2012132</v>
      </c>
      <c r="B42" s="7" t="s">
        <v>646</v>
      </c>
      <c r="C42" s="8">
        <v>4573.8100000000004</v>
      </c>
      <c r="I42" s="4" t="s">
        <v>771</v>
      </c>
      <c r="J42" s="4" t="s">
        <v>772</v>
      </c>
    </row>
    <row r="43" spans="1:10" x14ac:dyDescent="0.35">
      <c r="A43" s="6">
        <v>2012139</v>
      </c>
      <c r="B43" s="7" t="s">
        <v>647</v>
      </c>
      <c r="C43" s="8">
        <v>4540.29</v>
      </c>
      <c r="I43" s="4" t="s">
        <v>773</v>
      </c>
      <c r="J43" s="4" t="s">
        <v>123</v>
      </c>
    </row>
    <row r="44" spans="1:10" x14ac:dyDescent="0.35">
      <c r="A44" s="6">
        <v>2011945</v>
      </c>
      <c r="B44" s="7" t="s">
        <v>648</v>
      </c>
      <c r="C44" s="8">
        <v>4499</v>
      </c>
      <c r="I44" s="4" t="s">
        <v>774</v>
      </c>
      <c r="J44" s="4" t="s">
        <v>775</v>
      </c>
    </row>
    <row r="45" spans="1:10" x14ac:dyDescent="0.35">
      <c r="A45" s="6">
        <v>2012094</v>
      </c>
      <c r="B45" s="7" t="s">
        <v>649</v>
      </c>
      <c r="C45" s="8">
        <v>4491</v>
      </c>
      <c r="I45" s="4" t="s">
        <v>776</v>
      </c>
      <c r="J45" s="4" t="s">
        <v>777</v>
      </c>
    </row>
    <row r="46" spans="1:10" x14ac:dyDescent="0.35">
      <c r="A46" s="6">
        <v>2012041</v>
      </c>
      <c r="B46" s="7" t="s">
        <v>587</v>
      </c>
      <c r="C46" s="8">
        <v>4383.92</v>
      </c>
      <c r="I46" s="4" t="s">
        <v>778</v>
      </c>
      <c r="J46" s="4" t="s">
        <v>779</v>
      </c>
    </row>
    <row r="47" spans="1:10" x14ac:dyDescent="0.35">
      <c r="A47" s="6">
        <v>2012011</v>
      </c>
      <c r="B47" s="7" t="s">
        <v>604</v>
      </c>
      <c r="C47" s="8">
        <v>4254.08</v>
      </c>
      <c r="I47" s="4" t="s">
        <v>590</v>
      </c>
      <c r="J47" s="4" t="s">
        <v>591</v>
      </c>
    </row>
    <row r="48" spans="1:10" x14ac:dyDescent="0.35">
      <c r="A48" s="6">
        <v>2011989</v>
      </c>
      <c r="B48" s="7" t="s">
        <v>536</v>
      </c>
      <c r="C48" s="8">
        <v>4213.53</v>
      </c>
      <c r="I48" s="4" t="s">
        <v>780</v>
      </c>
      <c r="J48" s="4" t="s">
        <v>781</v>
      </c>
    </row>
    <row r="49" spans="1:10" x14ac:dyDescent="0.35">
      <c r="A49" s="6">
        <v>2012016</v>
      </c>
      <c r="B49" s="7" t="s">
        <v>650</v>
      </c>
      <c r="C49" s="8">
        <v>3889.19</v>
      </c>
      <c r="I49" s="4" t="s">
        <v>782</v>
      </c>
      <c r="J49" s="4" t="s">
        <v>783</v>
      </c>
    </row>
    <row r="50" spans="1:10" x14ac:dyDescent="0.35">
      <c r="A50" s="6">
        <v>2011968</v>
      </c>
      <c r="B50" s="7" t="s">
        <v>651</v>
      </c>
      <c r="C50" s="8">
        <v>3861.55</v>
      </c>
      <c r="I50" s="4" t="s">
        <v>539</v>
      </c>
      <c r="J50" s="4" t="s">
        <v>540</v>
      </c>
    </row>
    <row r="51" spans="1:10" x14ac:dyDescent="0.35">
      <c r="A51" s="6">
        <v>2012069</v>
      </c>
      <c r="B51" s="7" t="s">
        <v>652</v>
      </c>
      <c r="C51" s="8">
        <v>3317.93</v>
      </c>
      <c r="I51" s="4" t="s">
        <v>784</v>
      </c>
      <c r="J51" s="4" t="s">
        <v>785</v>
      </c>
    </row>
    <row r="52" spans="1:10" x14ac:dyDescent="0.35">
      <c r="A52" s="6">
        <v>2011978</v>
      </c>
      <c r="B52" s="7" t="s">
        <v>620</v>
      </c>
      <c r="C52" s="8">
        <v>3238.19</v>
      </c>
      <c r="I52" s="4" t="s">
        <v>554</v>
      </c>
      <c r="J52" s="4" t="s">
        <v>555</v>
      </c>
    </row>
    <row r="53" spans="1:10" x14ac:dyDescent="0.35">
      <c r="A53" s="6">
        <v>2011946</v>
      </c>
      <c r="B53" s="7" t="s">
        <v>511</v>
      </c>
      <c r="C53" s="8">
        <v>3048.2</v>
      </c>
      <c r="I53" s="4" t="s">
        <v>786</v>
      </c>
      <c r="J53" s="4" t="s">
        <v>787</v>
      </c>
    </row>
    <row r="54" spans="1:10" x14ac:dyDescent="0.35">
      <c r="A54" s="6">
        <v>2012043</v>
      </c>
      <c r="B54" s="7" t="s">
        <v>653</v>
      </c>
      <c r="C54" s="8">
        <v>2839.62</v>
      </c>
      <c r="I54" s="4" t="s">
        <v>788</v>
      </c>
      <c r="J54" s="4" t="s">
        <v>789</v>
      </c>
    </row>
    <row r="55" spans="1:10" x14ac:dyDescent="0.35">
      <c r="A55" s="6">
        <v>2012053</v>
      </c>
      <c r="B55" s="7" t="s">
        <v>654</v>
      </c>
      <c r="C55" s="8">
        <v>2742.82</v>
      </c>
      <c r="I55" s="4" t="s">
        <v>790</v>
      </c>
      <c r="J55" s="4" t="s">
        <v>791</v>
      </c>
    </row>
    <row r="56" spans="1:10" x14ac:dyDescent="0.35">
      <c r="A56" s="6">
        <v>2011972</v>
      </c>
      <c r="B56" s="7" t="s">
        <v>528</v>
      </c>
      <c r="C56" s="8">
        <v>2710.82</v>
      </c>
      <c r="I56" s="4" t="s">
        <v>572</v>
      </c>
      <c r="J56" s="4" t="s">
        <v>573</v>
      </c>
    </row>
    <row r="57" spans="1:10" x14ac:dyDescent="0.35">
      <c r="A57" s="6">
        <v>2012187</v>
      </c>
      <c r="B57" s="7" t="s">
        <v>558</v>
      </c>
      <c r="C57" s="8">
        <v>2707.56</v>
      </c>
      <c r="I57" s="4" t="s">
        <v>792</v>
      </c>
      <c r="J57" s="4" t="s">
        <v>793</v>
      </c>
    </row>
    <row r="58" spans="1:10" x14ac:dyDescent="0.35">
      <c r="A58" s="6">
        <v>2011979</v>
      </c>
      <c r="B58" s="7" t="s">
        <v>556</v>
      </c>
      <c r="C58" s="8">
        <v>2619.0100000000002</v>
      </c>
      <c r="I58" s="4" t="s">
        <v>794</v>
      </c>
      <c r="J58" s="4" t="s">
        <v>795</v>
      </c>
    </row>
    <row r="59" spans="1:10" x14ac:dyDescent="0.35">
      <c r="A59" s="6">
        <v>2012173</v>
      </c>
      <c r="B59" s="7" t="s">
        <v>655</v>
      </c>
      <c r="C59" s="8">
        <v>2306</v>
      </c>
      <c r="I59" s="4" t="s">
        <v>796</v>
      </c>
      <c r="J59" s="4" t="s">
        <v>797</v>
      </c>
    </row>
    <row r="60" spans="1:10" x14ac:dyDescent="0.35">
      <c r="A60" s="6">
        <v>2012029</v>
      </c>
      <c r="B60" s="7" t="s">
        <v>601</v>
      </c>
      <c r="C60" s="8">
        <v>2286</v>
      </c>
      <c r="I60" s="4" t="s">
        <v>798</v>
      </c>
      <c r="J60" s="4" t="s">
        <v>799</v>
      </c>
    </row>
    <row r="61" spans="1:10" x14ac:dyDescent="0.35">
      <c r="A61" s="6">
        <v>2012114</v>
      </c>
      <c r="B61" s="7" t="s">
        <v>656</v>
      </c>
      <c r="C61" s="8">
        <v>2249.5</v>
      </c>
      <c r="I61" s="4" t="s">
        <v>800</v>
      </c>
      <c r="J61" s="4" t="s">
        <v>801</v>
      </c>
    </row>
    <row r="62" spans="1:10" x14ac:dyDescent="0.35">
      <c r="A62" s="6">
        <v>2012038</v>
      </c>
      <c r="B62" s="7" t="s">
        <v>657</v>
      </c>
      <c r="C62" s="8">
        <v>2162.73</v>
      </c>
      <c r="I62" s="4" t="s">
        <v>802</v>
      </c>
      <c r="J62" s="4" t="s">
        <v>803</v>
      </c>
    </row>
    <row r="63" spans="1:10" x14ac:dyDescent="0.35">
      <c r="A63" s="6">
        <v>2011949</v>
      </c>
      <c r="B63" s="7" t="s">
        <v>658</v>
      </c>
      <c r="C63" s="8">
        <v>2030.61</v>
      </c>
      <c r="I63" s="4" t="s">
        <v>804</v>
      </c>
      <c r="J63" s="4" t="s">
        <v>805</v>
      </c>
    </row>
    <row r="64" spans="1:10" x14ac:dyDescent="0.35">
      <c r="A64" s="6">
        <v>2012115</v>
      </c>
      <c r="B64" s="7" t="s">
        <v>659</v>
      </c>
      <c r="C64" s="8">
        <v>1796.65</v>
      </c>
      <c r="I64" s="4" t="s">
        <v>806</v>
      </c>
      <c r="J64" s="4" t="s">
        <v>807</v>
      </c>
    </row>
    <row r="65" spans="1:10" x14ac:dyDescent="0.35">
      <c r="A65" s="6">
        <v>2011996</v>
      </c>
      <c r="B65" s="7" t="s">
        <v>660</v>
      </c>
      <c r="C65" s="8">
        <v>1766.6</v>
      </c>
      <c r="I65" s="4" t="s">
        <v>808</v>
      </c>
      <c r="J65" s="4" t="s">
        <v>809</v>
      </c>
    </row>
    <row r="66" spans="1:10" x14ac:dyDescent="0.35">
      <c r="A66" s="6">
        <v>2012119</v>
      </c>
      <c r="B66" s="7" t="s">
        <v>661</v>
      </c>
      <c r="C66" s="8">
        <v>1574.33</v>
      </c>
      <c r="I66" s="4" t="s">
        <v>810</v>
      </c>
      <c r="J66" s="4" t="s">
        <v>811</v>
      </c>
    </row>
    <row r="67" spans="1:10" x14ac:dyDescent="0.35">
      <c r="A67" s="6">
        <v>1806112</v>
      </c>
      <c r="B67" s="7" t="s">
        <v>559</v>
      </c>
      <c r="C67" s="8">
        <v>1545.88</v>
      </c>
      <c r="I67" s="4" t="s">
        <v>549</v>
      </c>
      <c r="J67" s="4" t="s">
        <v>550</v>
      </c>
    </row>
    <row r="68" spans="1:10" x14ac:dyDescent="0.35">
      <c r="A68" s="6">
        <v>1806112</v>
      </c>
      <c r="B68" s="7" t="s">
        <v>559</v>
      </c>
      <c r="C68" s="8">
        <v>1545.88</v>
      </c>
      <c r="I68" s="4" t="s">
        <v>812</v>
      </c>
      <c r="J68" s="4" t="s">
        <v>813</v>
      </c>
    </row>
    <row r="69" spans="1:10" x14ac:dyDescent="0.35">
      <c r="A69" s="6">
        <v>2012125</v>
      </c>
      <c r="B69" s="7" t="s">
        <v>542</v>
      </c>
      <c r="C69" s="8">
        <v>1531.91</v>
      </c>
      <c r="I69" s="4" t="s">
        <v>578</v>
      </c>
      <c r="J69" s="4" t="s">
        <v>814</v>
      </c>
    </row>
    <row r="70" spans="1:10" x14ac:dyDescent="0.35">
      <c r="A70" s="6">
        <v>2012077</v>
      </c>
      <c r="B70" s="7" t="s">
        <v>662</v>
      </c>
      <c r="C70" s="8">
        <v>1507.36</v>
      </c>
      <c r="I70" s="4" t="s">
        <v>815</v>
      </c>
      <c r="J70" s="4" t="s">
        <v>816</v>
      </c>
    </row>
    <row r="71" spans="1:10" x14ac:dyDescent="0.35">
      <c r="A71" s="6">
        <v>2012033</v>
      </c>
      <c r="B71" s="7" t="s">
        <v>663</v>
      </c>
      <c r="C71" s="8">
        <v>1415</v>
      </c>
      <c r="I71" s="4" t="s">
        <v>817</v>
      </c>
      <c r="J71" s="4" t="s">
        <v>818</v>
      </c>
    </row>
    <row r="72" spans="1:10" x14ac:dyDescent="0.35">
      <c r="A72" s="6">
        <v>2012116</v>
      </c>
      <c r="B72" s="7" t="s">
        <v>608</v>
      </c>
      <c r="C72" s="8">
        <v>1407.1</v>
      </c>
      <c r="I72" s="4" t="s">
        <v>819</v>
      </c>
      <c r="J72" s="4" t="s">
        <v>820</v>
      </c>
    </row>
    <row r="73" spans="1:10" x14ac:dyDescent="0.35">
      <c r="A73" s="6">
        <v>2012074</v>
      </c>
      <c r="B73" s="7" t="s">
        <v>664</v>
      </c>
      <c r="C73" s="8">
        <v>1255.0899999999999</v>
      </c>
      <c r="I73" s="4" t="s">
        <v>821</v>
      </c>
      <c r="J73" s="4" t="s">
        <v>822</v>
      </c>
    </row>
    <row r="74" spans="1:10" x14ac:dyDescent="0.35">
      <c r="A74" s="6">
        <v>2012146</v>
      </c>
      <c r="B74" s="7" t="s">
        <v>606</v>
      </c>
      <c r="C74" s="8">
        <v>1173.72</v>
      </c>
      <c r="I74" s="4" t="s">
        <v>823</v>
      </c>
      <c r="J74" s="4" t="s">
        <v>824</v>
      </c>
    </row>
    <row r="75" spans="1:10" x14ac:dyDescent="0.35">
      <c r="A75" s="6">
        <v>2012044</v>
      </c>
      <c r="B75" s="7" t="s">
        <v>600</v>
      </c>
      <c r="C75" s="8">
        <v>1164.97</v>
      </c>
      <c r="I75" s="4" t="s">
        <v>825</v>
      </c>
      <c r="J75" s="4" t="s">
        <v>826</v>
      </c>
    </row>
    <row r="76" spans="1:10" x14ac:dyDescent="0.35">
      <c r="A76" s="6">
        <v>2011956</v>
      </c>
      <c r="B76" s="7" t="s">
        <v>665</v>
      </c>
      <c r="C76" s="8">
        <v>1093.04</v>
      </c>
      <c r="I76" s="4" t="s">
        <v>827</v>
      </c>
      <c r="J76" s="4" t="s">
        <v>828</v>
      </c>
    </row>
    <row r="77" spans="1:10" x14ac:dyDescent="0.35">
      <c r="A77" s="6">
        <v>2012040</v>
      </c>
      <c r="B77" s="7" t="s">
        <v>666</v>
      </c>
      <c r="C77" s="8">
        <v>913.2</v>
      </c>
      <c r="I77" s="4" t="s">
        <v>829</v>
      </c>
      <c r="J77" s="4" t="s">
        <v>830</v>
      </c>
    </row>
    <row r="78" spans="1:10" x14ac:dyDescent="0.35">
      <c r="A78" s="6">
        <v>2012181</v>
      </c>
      <c r="B78" s="7" t="s">
        <v>667</v>
      </c>
      <c r="C78" s="8">
        <v>795.8</v>
      </c>
      <c r="I78" s="4" t="s">
        <v>831</v>
      </c>
      <c r="J78" s="4" t="s">
        <v>832</v>
      </c>
    </row>
    <row r="79" spans="1:10" x14ac:dyDescent="0.35">
      <c r="A79" s="6">
        <v>2012008</v>
      </c>
      <c r="B79" s="7" t="s">
        <v>668</v>
      </c>
      <c r="C79" s="8">
        <v>791.04</v>
      </c>
      <c r="I79" s="4" t="s">
        <v>833</v>
      </c>
      <c r="J79" s="4" t="s">
        <v>834</v>
      </c>
    </row>
    <row r="80" spans="1:10" x14ac:dyDescent="0.35">
      <c r="A80" s="6">
        <v>2012060</v>
      </c>
      <c r="B80" s="7" t="s">
        <v>669</v>
      </c>
      <c r="C80" s="8">
        <v>778.96</v>
      </c>
      <c r="I80" s="4" t="s">
        <v>835</v>
      </c>
      <c r="J80" s="4" t="s">
        <v>836</v>
      </c>
    </row>
    <row r="81" spans="1:10" x14ac:dyDescent="0.35">
      <c r="A81" s="6">
        <v>2011981</v>
      </c>
      <c r="B81" s="7" t="s">
        <v>670</v>
      </c>
      <c r="C81" s="8">
        <v>604.63</v>
      </c>
      <c r="I81" s="4" t="s">
        <v>837</v>
      </c>
      <c r="J81" s="4" t="s">
        <v>838</v>
      </c>
    </row>
    <row r="82" spans="1:10" x14ac:dyDescent="0.35">
      <c r="A82" s="6">
        <v>2011957</v>
      </c>
      <c r="B82" s="7" t="s">
        <v>611</v>
      </c>
      <c r="C82" s="8">
        <v>548.77</v>
      </c>
      <c r="I82" s="4" t="s">
        <v>839</v>
      </c>
      <c r="J82" s="4" t="s">
        <v>840</v>
      </c>
    </row>
    <row r="83" spans="1:10" x14ac:dyDescent="0.35">
      <c r="A83" s="6">
        <v>2011967</v>
      </c>
      <c r="B83" s="7" t="s">
        <v>613</v>
      </c>
      <c r="C83" s="8">
        <v>447.98</v>
      </c>
      <c r="I83" s="4" t="s">
        <v>841</v>
      </c>
      <c r="J83" s="4" t="s">
        <v>842</v>
      </c>
    </row>
    <row r="84" spans="1:10" x14ac:dyDescent="0.35">
      <c r="A84" s="6">
        <v>2012179</v>
      </c>
      <c r="B84" s="7" t="s">
        <v>671</v>
      </c>
      <c r="C84" s="8">
        <v>431.62</v>
      </c>
      <c r="I84" s="4" t="s">
        <v>843</v>
      </c>
      <c r="J84" s="4" t="s">
        <v>844</v>
      </c>
    </row>
    <row r="85" spans="1:10" x14ac:dyDescent="0.35">
      <c r="A85" s="6">
        <v>2012126</v>
      </c>
      <c r="B85" s="7" t="s">
        <v>672</v>
      </c>
      <c r="C85" s="8">
        <v>415.8</v>
      </c>
      <c r="I85" s="4" t="s">
        <v>585</v>
      </c>
      <c r="J85" s="4" t="s">
        <v>586</v>
      </c>
    </row>
    <row r="86" spans="1:10" x14ac:dyDescent="0.35">
      <c r="A86" s="6">
        <v>2012064</v>
      </c>
      <c r="B86" s="7" t="s">
        <v>673</v>
      </c>
      <c r="C86" s="8">
        <v>394.3</v>
      </c>
      <c r="I86" s="4" t="s">
        <v>845</v>
      </c>
      <c r="J86" s="4" t="s">
        <v>846</v>
      </c>
    </row>
    <row r="87" spans="1:10" x14ac:dyDescent="0.35">
      <c r="A87" s="6">
        <v>2012071</v>
      </c>
      <c r="B87" s="7" t="s">
        <v>674</v>
      </c>
      <c r="C87" s="8">
        <v>309.69</v>
      </c>
      <c r="I87" s="4" t="s">
        <v>847</v>
      </c>
      <c r="J87" s="4" t="s">
        <v>848</v>
      </c>
    </row>
    <row r="88" spans="1:10" x14ac:dyDescent="0.35">
      <c r="A88" s="6">
        <v>2011976</v>
      </c>
      <c r="B88" s="7" t="s">
        <v>675</v>
      </c>
      <c r="C88" s="8">
        <v>300</v>
      </c>
      <c r="I88" s="4" t="s">
        <v>849</v>
      </c>
      <c r="J88" s="4" t="s">
        <v>850</v>
      </c>
    </row>
    <row r="89" spans="1:10" x14ac:dyDescent="0.35">
      <c r="A89" s="6">
        <v>2012045</v>
      </c>
      <c r="B89" s="7" t="s">
        <v>560</v>
      </c>
      <c r="C89" s="8">
        <v>280.12</v>
      </c>
      <c r="I89" s="4" t="s">
        <v>851</v>
      </c>
      <c r="J89" s="4" t="s">
        <v>852</v>
      </c>
    </row>
    <row r="90" spans="1:10" x14ac:dyDescent="0.35">
      <c r="A90" s="6">
        <v>2012088</v>
      </c>
      <c r="B90" s="7" t="s">
        <v>676</v>
      </c>
      <c r="C90" s="8">
        <v>262.77999999999997</v>
      </c>
      <c r="I90" s="4" t="s">
        <v>853</v>
      </c>
      <c r="J90" s="4" t="s">
        <v>854</v>
      </c>
    </row>
    <row r="91" spans="1:10" x14ac:dyDescent="0.35">
      <c r="A91" s="6">
        <v>2012195</v>
      </c>
      <c r="B91" s="7" t="s">
        <v>607</v>
      </c>
      <c r="C91" s="8">
        <v>254.54</v>
      </c>
      <c r="I91" s="4" t="s">
        <v>855</v>
      </c>
      <c r="J91" s="4" t="s">
        <v>856</v>
      </c>
    </row>
    <row r="92" spans="1:10" x14ac:dyDescent="0.35">
      <c r="A92" s="6">
        <v>2012143</v>
      </c>
      <c r="B92" s="7" t="s">
        <v>677</v>
      </c>
      <c r="C92" s="8">
        <v>239.86</v>
      </c>
      <c r="I92" s="4" t="s">
        <v>857</v>
      </c>
      <c r="J92" s="4" t="s">
        <v>858</v>
      </c>
    </row>
    <row r="93" spans="1:10" x14ac:dyDescent="0.35">
      <c r="A93" s="6">
        <v>2012147</v>
      </c>
      <c r="B93" s="7" t="s">
        <v>678</v>
      </c>
      <c r="C93" s="8">
        <v>218.88</v>
      </c>
      <c r="I93" s="4" t="s">
        <v>859</v>
      </c>
      <c r="J93" s="4" t="s">
        <v>860</v>
      </c>
    </row>
    <row r="94" spans="1:10" x14ac:dyDescent="0.35">
      <c r="A94" s="6">
        <v>2011986</v>
      </c>
      <c r="B94" s="7" t="s">
        <v>679</v>
      </c>
      <c r="C94" s="8">
        <v>125.85</v>
      </c>
      <c r="I94" s="4" t="s">
        <v>861</v>
      </c>
      <c r="J94" s="4" t="s">
        <v>862</v>
      </c>
    </row>
    <row r="95" spans="1:10" x14ac:dyDescent="0.35">
      <c r="A95" s="6">
        <v>2012183</v>
      </c>
      <c r="B95" s="7" t="s">
        <v>680</v>
      </c>
      <c r="C95" s="8">
        <v>115.02</v>
      </c>
      <c r="I95" s="4" t="s">
        <v>863</v>
      </c>
      <c r="J95" s="4" t="s">
        <v>864</v>
      </c>
    </row>
    <row r="96" spans="1:10" x14ac:dyDescent="0.35">
      <c r="A96" s="6">
        <v>2012032</v>
      </c>
      <c r="B96" s="7" t="s">
        <v>681</v>
      </c>
      <c r="C96" s="8">
        <v>87.34</v>
      </c>
      <c r="I96" s="4" t="s">
        <v>865</v>
      </c>
      <c r="J96" s="4" t="s">
        <v>866</v>
      </c>
    </row>
    <row r="97" spans="1:10" x14ac:dyDescent="0.35">
      <c r="A97" s="6">
        <v>2012111</v>
      </c>
      <c r="B97" s="7" t="s">
        <v>682</v>
      </c>
      <c r="C97" s="8">
        <v>75.239999999999995</v>
      </c>
      <c r="I97" s="4" t="s">
        <v>517</v>
      </c>
      <c r="J97" s="4" t="s">
        <v>518</v>
      </c>
    </row>
    <row r="98" spans="1:10" x14ac:dyDescent="0.35">
      <c r="A98" s="6">
        <v>2012076</v>
      </c>
      <c r="B98" s="7" t="s">
        <v>683</v>
      </c>
      <c r="C98" s="8">
        <v>68</v>
      </c>
      <c r="I98" s="4" t="s">
        <v>867</v>
      </c>
      <c r="J98" s="4" t="s">
        <v>868</v>
      </c>
    </row>
    <row r="99" spans="1:10" x14ac:dyDescent="0.35">
      <c r="A99" s="6">
        <v>2012104</v>
      </c>
      <c r="B99" s="7" t="s">
        <v>684</v>
      </c>
      <c r="C99" s="8">
        <v>63.87</v>
      </c>
      <c r="I99" s="4" t="s">
        <v>869</v>
      </c>
      <c r="J99" s="4" t="s">
        <v>870</v>
      </c>
    </row>
    <row r="100" spans="1:10" x14ac:dyDescent="0.35">
      <c r="A100" s="6">
        <v>2012174</v>
      </c>
      <c r="B100" s="7" t="s">
        <v>622</v>
      </c>
      <c r="C100" s="8">
        <v>59</v>
      </c>
      <c r="I100" s="4" t="s">
        <v>871</v>
      </c>
      <c r="J100" s="4" t="s">
        <v>872</v>
      </c>
    </row>
    <row r="101" spans="1:10" x14ac:dyDescent="0.35">
      <c r="A101" s="6">
        <v>2012015</v>
      </c>
      <c r="B101" s="7" t="s">
        <v>685</v>
      </c>
      <c r="C101" s="8">
        <v>57.56</v>
      </c>
      <c r="I101" s="4" t="s">
        <v>873</v>
      </c>
      <c r="J101" s="4" t="s">
        <v>874</v>
      </c>
    </row>
    <row r="102" spans="1:10" x14ac:dyDescent="0.35">
      <c r="A102" s="6">
        <v>2012118</v>
      </c>
      <c r="B102" s="7" t="s">
        <v>686</v>
      </c>
      <c r="C102" s="8">
        <v>30.59</v>
      </c>
      <c r="I102" s="4" t="s">
        <v>875</v>
      </c>
      <c r="J102" s="4" t="s">
        <v>876</v>
      </c>
    </row>
    <row r="103" spans="1:10" x14ac:dyDescent="0.35">
      <c r="A103" s="6">
        <v>2012034</v>
      </c>
      <c r="B103" s="7" t="s">
        <v>687</v>
      </c>
      <c r="C103" s="8">
        <v>23.42</v>
      </c>
      <c r="I103" s="4" t="s">
        <v>877</v>
      </c>
      <c r="J103" s="4" t="s">
        <v>878</v>
      </c>
    </row>
    <row r="104" spans="1:10" x14ac:dyDescent="0.35">
      <c r="A104" s="6">
        <v>2011969</v>
      </c>
      <c r="B104" s="7" t="s">
        <v>689</v>
      </c>
      <c r="C104" s="9" t="s">
        <v>688</v>
      </c>
      <c r="I104" s="4" t="s">
        <v>879</v>
      </c>
      <c r="J104" s="4" t="s">
        <v>880</v>
      </c>
    </row>
    <row r="105" spans="1:10" x14ac:dyDescent="0.35">
      <c r="A105" s="6">
        <v>2012018</v>
      </c>
      <c r="B105" s="7" t="s">
        <v>690</v>
      </c>
      <c r="C105" s="9" t="s">
        <v>688</v>
      </c>
      <c r="I105" s="4" t="s">
        <v>881</v>
      </c>
      <c r="J105" s="4" t="s">
        <v>882</v>
      </c>
    </row>
    <row r="106" spans="1:10" x14ac:dyDescent="0.35">
      <c r="A106" s="6">
        <v>2012051</v>
      </c>
      <c r="B106" s="7" t="s">
        <v>691</v>
      </c>
      <c r="C106" s="9" t="s">
        <v>688</v>
      </c>
      <c r="I106" s="4" t="s">
        <v>883</v>
      </c>
      <c r="J106" s="4" t="s">
        <v>884</v>
      </c>
    </row>
    <row r="107" spans="1:10" x14ac:dyDescent="0.35">
      <c r="A107" s="6">
        <v>2012136</v>
      </c>
      <c r="B107" s="7" t="s">
        <v>692</v>
      </c>
      <c r="C107" s="9" t="s">
        <v>688</v>
      </c>
      <c r="I107" s="4" t="s">
        <v>885</v>
      </c>
      <c r="J107" s="4" t="s">
        <v>886</v>
      </c>
    </row>
    <row r="108" spans="1:10" x14ac:dyDescent="0.35">
      <c r="A108" s="6">
        <v>2012025</v>
      </c>
      <c r="B108" s="7" t="s">
        <v>693</v>
      </c>
      <c r="C108" s="8">
        <v>-1256.95</v>
      </c>
      <c r="I108" s="4" t="s">
        <v>887</v>
      </c>
      <c r="J108" s="4" t="s">
        <v>888</v>
      </c>
    </row>
    <row r="109" spans="1:10" x14ac:dyDescent="0.35">
      <c r="I109" s="4" t="s">
        <v>889</v>
      </c>
      <c r="J109" s="4" t="s">
        <v>890</v>
      </c>
    </row>
    <row r="110" spans="1:10" x14ac:dyDescent="0.35">
      <c r="I110" s="4" t="s">
        <v>891</v>
      </c>
      <c r="J110" s="4" t="s">
        <v>892</v>
      </c>
    </row>
    <row r="111" spans="1:10" x14ac:dyDescent="0.35">
      <c r="I111" s="4" t="s">
        <v>538</v>
      </c>
      <c r="J111" s="4" t="s">
        <v>893</v>
      </c>
    </row>
    <row r="112" spans="1:10" x14ac:dyDescent="0.35">
      <c r="I112" s="4" t="s">
        <v>894</v>
      </c>
      <c r="J112" s="4" t="s">
        <v>895</v>
      </c>
    </row>
    <row r="113" spans="9:10" x14ac:dyDescent="0.35">
      <c r="I113" s="4" t="s">
        <v>896</v>
      </c>
      <c r="J113" s="4" t="s">
        <v>897</v>
      </c>
    </row>
    <row r="114" spans="9:10" x14ac:dyDescent="0.35">
      <c r="I114" s="4" t="s">
        <v>552</v>
      </c>
      <c r="J114" s="4" t="s">
        <v>553</v>
      </c>
    </row>
    <row r="115" spans="9:10" x14ac:dyDescent="0.35">
      <c r="I115" s="4" t="s">
        <v>898</v>
      </c>
      <c r="J115" s="4" t="s">
        <v>899</v>
      </c>
    </row>
    <row r="116" spans="9:10" x14ac:dyDescent="0.35">
      <c r="I116" s="4" t="s">
        <v>900</v>
      </c>
      <c r="J116" s="4" t="s">
        <v>901</v>
      </c>
    </row>
    <row r="117" spans="9:10" x14ac:dyDescent="0.35">
      <c r="I117" s="4" t="s">
        <v>902</v>
      </c>
      <c r="J117" s="4" t="s">
        <v>903</v>
      </c>
    </row>
    <row r="118" spans="9:10" x14ac:dyDescent="0.35">
      <c r="I118" s="4" t="s">
        <v>904</v>
      </c>
      <c r="J118" s="4" t="s">
        <v>905</v>
      </c>
    </row>
    <row r="119" spans="9:10" x14ac:dyDescent="0.35">
      <c r="I119" s="4" t="s">
        <v>906</v>
      </c>
      <c r="J119" s="4" t="s">
        <v>907</v>
      </c>
    </row>
    <row r="120" spans="9:10" x14ac:dyDescent="0.35">
      <c r="I120" s="4" t="s">
        <v>561</v>
      </c>
      <c r="J120" s="4" t="s">
        <v>908</v>
      </c>
    </row>
    <row r="121" spans="9:10" x14ac:dyDescent="0.35">
      <c r="I121" s="4" t="s">
        <v>909</v>
      </c>
      <c r="J121" s="4" t="s">
        <v>910</v>
      </c>
    </row>
    <row r="122" spans="9:10" x14ac:dyDescent="0.35">
      <c r="I122" s="4" t="s">
        <v>911</v>
      </c>
      <c r="J122" s="4" t="s">
        <v>912</v>
      </c>
    </row>
    <row r="123" spans="9:10" x14ac:dyDescent="0.35">
      <c r="I123" s="4" t="s">
        <v>609</v>
      </c>
      <c r="J123" s="4" t="s">
        <v>610</v>
      </c>
    </row>
    <row r="124" spans="9:10" x14ac:dyDescent="0.35">
      <c r="I124" s="4" t="s">
        <v>913</v>
      </c>
      <c r="J124" s="4" t="s">
        <v>914</v>
      </c>
    </row>
    <row r="125" spans="9:10" x14ac:dyDescent="0.35">
      <c r="I125" s="4" t="s">
        <v>915</v>
      </c>
      <c r="J125" s="4" t="s">
        <v>916</v>
      </c>
    </row>
    <row r="126" spans="9:10" x14ac:dyDescent="0.35">
      <c r="I126" s="4" t="s">
        <v>617</v>
      </c>
      <c r="J126" s="4" t="s">
        <v>618</v>
      </c>
    </row>
    <row r="127" spans="9:10" x14ac:dyDescent="0.35">
      <c r="I127" s="4" t="s">
        <v>917</v>
      </c>
      <c r="J127" s="4" t="s">
        <v>918</v>
      </c>
    </row>
    <row r="128" spans="9:10" x14ac:dyDescent="0.35">
      <c r="I128" s="4" t="s">
        <v>919</v>
      </c>
      <c r="J128" s="4" t="s">
        <v>920</v>
      </c>
    </row>
    <row r="129" spans="9:10" x14ac:dyDescent="0.35">
      <c r="I129" s="4" t="s">
        <v>551</v>
      </c>
      <c r="J129" s="4" t="s">
        <v>921</v>
      </c>
    </row>
    <row r="130" spans="9:10" x14ac:dyDescent="0.35">
      <c r="I130" s="4" t="s">
        <v>922</v>
      </c>
      <c r="J130" s="4" t="s">
        <v>923</v>
      </c>
    </row>
    <row r="131" spans="9:10" x14ac:dyDescent="0.35">
      <c r="I131" s="4" t="s">
        <v>924</v>
      </c>
      <c r="J131" s="4" t="s">
        <v>925</v>
      </c>
    </row>
    <row r="132" spans="9:10" x14ac:dyDescent="0.35">
      <c r="I132" s="4" t="s">
        <v>926</v>
      </c>
      <c r="J132" s="4" t="s">
        <v>927</v>
      </c>
    </row>
    <row r="133" spans="9:10" x14ac:dyDescent="0.35">
      <c r="I133" s="4" t="s">
        <v>928</v>
      </c>
      <c r="J133" s="4" t="s">
        <v>929</v>
      </c>
    </row>
    <row r="134" spans="9:10" x14ac:dyDescent="0.35">
      <c r="I134" s="4" t="s">
        <v>930</v>
      </c>
      <c r="J134" s="4" t="s">
        <v>931</v>
      </c>
    </row>
    <row r="135" spans="9:10" x14ac:dyDescent="0.35">
      <c r="I135" s="4" t="s">
        <v>562</v>
      </c>
      <c r="J135" s="4" t="s">
        <v>563</v>
      </c>
    </row>
    <row r="136" spans="9:10" x14ac:dyDescent="0.35">
      <c r="I136" s="4" t="s">
        <v>534</v>
      </c>
      <c r="J136" s="4" t="s">
        <v>535</v>
      </c>
    </row>
    <row r="137" spans="9:10" x14ac:dyDescent="0.35">
      <c r="I137" s="4" t="s">
        <v>546</v>
      </c>
      <c r="J137" s="4" t="s">
        <v>932</v>
      </c>
    </row>
    <row r="138" spans="9:10" x14ac:dyDescent="0.35">
      <c r="I138" s="4" t="s">
        <v>933</v>
      </c>
      <c r="J138" s="4" t="s">
        <v>934</v>
      </c>
    </row>
    <row r="139" spans="9:10" x14ac:dyDescent="0.35">
      <c r="I139" s="4" t="s">
        <v>545</v>
      </c>
      <c r="J139" s="4" t="s">
        <v>935</v>
      </c>
    </row>
    <row r="140" spans="9:10" x14ac:dyDescent="0.35">
      <c r="I140" s="4" t="s">
        <v>523</v>
      </c>
      <c r="J140" s="4" t="s">
        <v>524</v>
      </c>
    </row>
    <row r="141" spans="9:10" x14ac:dyDescent="0.35">
      <c r="I141" s="4" t="s">
        <v>570</v>
      </c>
      <c r="J141" s="4" t="s">
        <v>571</v>
      </c>
    </row>
    <row r="142" spans="9:10" x14ac:dyDescent="0.35">
      <c r="I142" s="4" t="s">
        <v>605</v>
      </c>
      <c r="J142" s="4" t="s">
        <v>936</v>
      </c>
    </row>
    <row r="143" spans="9:10" x14ac:dyDescent="0.35">
      <c r="I143" s="4" t="s">
        <v>937</v>
      </c>
      <c r="J143" s="4" t="s">
        <v>938</v>
      </c>
    </row>
    <row r="144" spans="9:10" x14ac:dyDescent="0.35">
      <c r="I144" s="4" t="s">
        <v>532</v>
      </c>
      <c r="J144" s="4" t="s">
        <v>533</v>
      </c>
    </row>
    <row r="145" spans="9:10" x14ac:dyDescent="0.35">
      <c r="I145" s="4" t="s">
        <v>614</v>
      </c>
      <c r="J145" s="4" t="s">
        <v>615</v>
      </c>
    </row>
    <row r="146" spans="9:10" x14ac:dyDescent="0.35">
      <c r="I146" s="4" t="s">
        <v>547</v>
      </c>
      <c r="J146" s="4" t="s">
        <v>548</v>
      </c>
    </row>
    <row r="147" spans="9:10" x14ac:dyDescent="0.35">
      <c r="I147" s="4" t="s">
        <v>939</v>
      </c>
      <c r="J147" s="4" t="s">
        <v>940</v>
      </c>
    </row>
    <row r="148" spans="9:10" x14ac:dyDescent="0.35">
      <c r="I148" s="4" t="s">
        <v>568</v>
      </c>
      <c r="J148" s="4" t="s">
        <v>941</v>
      </c>
    </row>
    <row r="149" spans="9:10" x14ac:dyDescent="0.35">
      <c r="I149" s="4" t="s">
        <v>543</v>
      </c>
      <c r="J149" s="4" t="s">
        <v>544</v>
      </c>
    </row>
    <row r="150" spans="9:10" x14ac:dyDescent="0.35">
      <c r="I150" s="4" t="s">
        <v>564</v>
      </c>
      <c r="J150" s="4" t="s">
        <v>565</v>
      </c>
    </row>
    <row r="151" spans="9:10" x14ac:dyDescent="0.35">
      <c r="I151" s="4" t="s">
        <v>593</v>
      </c>
      <c r="J151" s="4" t="s">
        <v>594</v>
      </c>
    </row>
    <row r="152" spans="9:10" x14ac:dyDescent="0.35">
      <c r="I152" s="4" t="s">
        <v>942</v>
      </c>
      <c r="J152" s="4" t="s">
        <v>943</v>
      </c>
    </row>
    <row r="153" spans="9:10" x14ac:dyDescent="0.35">
      <c r="I153" s="4" t="s">
        <v>944</v>
      </c>
      <c r="J153" s="4" t="s">
        <v>945</v>
      </c>
    </row>
    <row r="154" spans="9:10" x14ac:dyDescent="0.35">
      <c r="I154" s="4" t="s">
        <v>946</v>
      </c>
      <c r="J154" s="4" t="s">
        <v>947</v>
      </c>
    </row>
    <row r="155" spans="9:10" x14ac:dyDescent="0.35">
      <c r="I155" s="4" t="s">
        <v>576</v>
      </c>
      <c r="J155" s="4" t="s">
        <v>577</v>
      </c>
    </row>
    <row r="156" spans="9:10" x14ac:dyDescent="0.35">
      <c r="I156" s="4" t="s">
        <v>948</v>
      </c>
      <c r="J156" s="4" t="s">
        <v>949</v>
      </c>
    </row>
    <row r="157" spans="9:10" x14ac:dyDescent="0.35">
      <c r="I157" s="4" t="s">
        <v>595</v>
      </c>
      <c r="J157" s="4" t="s">
        <v>596</v>
      </c>
    </row>
  </sheetData>
  <mergeCells count="2">
    <mergeCell ref="A1:B1"/>
    <mergeCell ref="I1:J1"/>
  </mergeCells>
  <conditionalFormatting sqref="A3:A108">
    <cfRule type="duplicateValues" dxfId="1" priority="2"/>
  </conditionalFormatting>
  <conditionalFormatting sqref="I262:I1048576 I3:I157 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Fuglsang</dc:creator>
  <cp:lastModifiedBy>Tony Beal</cp:lastModifiedBy>
  <dcterms:created xsi:type="dcterms:W3CDTF">2026-02-02T19:44:15Z</dcterms:created>
  <dcterms:modified xsi:type="dcterms:W3CDTF">2026-02-12T21:00:47Z</dcterms:modified>
</cp:coreProperties>
</file>